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FANI.SIREGAR\Documents\WORK FILES\KFUPM\Fintech\Fintech Spatial Econometrics\"/>
    </mc:Choice>
  </mc:AlternateContent>
  <xr:revisionPtr revIDLastSave="0" documentId="13_ncr:1_{0DF0C39F-47A4-4B41-9CCC-20A12C674BF4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Sheet1!$A$1:$AM$1187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M3" i="1" l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2" i="1"/>
</calcChain>
</file>

<file path=xl/sharedStrings.xml><?xml version="1.0" encoding="utf-8"?>
<sst xmlns="http://schemas.openxmlformats.org/spreadsheetml/2006/main" count="2403" uniqueCount="417">
  <si>
    <t>year</t>
  </si>
  <si>
    <t>country</t>
  </si>
  <si>
    <t>digital_capital_rising</t>
  </si>
  <si>
    <t>digital lending</t>
  </si>
  <si>
    <t>United Kingdom</t>
  </si>
  <si>
    <t>Belgium</t>
  </si>
  <si>
    <t>Denmark</t>
  </si>
  <si>
    <t>Estonia</t>
  </si>
  <si>
    <t>Finland</t>
  </si>
  <si>
    <t>France</t>
  </si>
  <si>
    <t>Germany</t>
  </si>
  <si>
    <t>Iceland</t>
  </si>
  <si>
    <t>Netherlands</t>
  </si>
  <si>
    <t>Norway</t>
  </si>
  <si>
    <t>Poland</t>
  </si>
  <si>
    <t>Portugal</t>
  </si>
  <si>
    <t>Slovak Republic</t>
  </si>
  <si>
    <t>Spain</t>
  </si>
  <si>
    <t>Sweden</t>
  </si>
  <si>
    <t>Switzerland</t>
  </si>
  <si>
    <t>United States</t>
  </si>
  <si>
    <t>Algeria</t>
  </si>
  <si>
    <t>Argentina</t>
  </si>
  <si>
    <t>Australia</t>
  </si>
  <si>
    <t>Austria</t>
  </si>
  <si>
    <t>Bahrain</t>
  </si>
  <si>
    <t>Benin</t>
  </si>
  <si>
    <t>Bolivia</t>
  </si>
  <si>
    <t>Botswana</t>
  </si>
  <si>
    <t>Brazil</t>
  </si>
  <si>
    <t>Burkina Faso</t>
  </si>
  <si>
    <t>Burundi</t>
  </si>
  <si>
    <t>Cameroon</t>
  </si>
  <si>
    <t>Canada</t>
  </si>
  <si>
    <t>Chile</t>
  </si>
  <si>
    <t>China</t>
  </si>
  <si>
    <t>Colombia</t>
  </si>
  <si>
    <t>Congo, Dem. Rep.</t>
  </si>
  <si>
    <t>Congo, Rep.</t>
  </si>
  <si>
    <t>Cote d'Ivoire</t>
  </si>
  <si>
    <t>Cuba</t>
  </si>
  <si>
    <t>Curacao</t>
  </si>
  <si>
    <t>Czech Republic</t>
  </si>
  <si>
    <t>Ecuador</t>
  </si>
  <si>
    <t>Egypt, Arab Rep.</t>
  </si>
  <si>
    <t>Eswatini</t>
  </si>
  <si>
    <t>Ethiopia</t>
  </si>
  <si>
    <t>Gabon</t>
  </si>
  <si>
    <t>Gambia, The</t>
  </si>
  <si>
    <t>Georgia</t>
  </si>
  <si>
    <t>Ghana</t>
  </si>
  <si>
    <t>Guatemala</t>
  </si>
  <si>
    <t>Guinea</t>
  </si>
  <si>
    <t>Haiti</t>
  </si>
  <si>
    <t>Hong Kong SAR, China</t>
  </si>
  <si>
    <t>Hungary</t>
  </si>
  <si>
    <t>India</t>
  </si>
  <si>
    <t>Indonesia</t>
  </si>
  <si>
    <t>Iran, Islamic Rep.</t>
  </si>
  <si>
    <t>Iraq</t>
  </si>
  <si>
    <t>Israel</t>
  </si>
  <si>
    <t>Italy</t>
  </si>
  <si>
    <t>Jamaica</t>
  </si>
  <si>
    <t>Japan</t>
  </si>
  <si>
    <t>Jordan</t>
  </si>
  <si>
    <t>Kenya</t>
  </si>
  <si>
    <t>Korea, Rep.</t>
  </si>
  <si>
    <t>Kuwait</t>
  </si>
  <si>
    <t>Lebanon</t>
  </si>
  <si>
    <t>Liberia</t>
  </si>
  <si>
    <t>Madagascar</t>
  </si>
  <si>
    <t>Malawi</t>
  </si>
  <si>
    <t>Malaysia</t>
  </si>
  <si>
    <t>Mali</t>
  </si>
  <si>
    <t>Mauritania</t>
  </si>
  <si>
    <t>Mauritius</t>
  </si>
  <si>
    <t>Mexico</t>
  </si>
  <si>
    <t>Mongolia</t>
  </si>
  <si>
    <t>Morocco</t>
  </si>
  <si>
    <t>Mozambique</t>
  </si>
  <si>
    <t>Namibia</t>
  </si>
  <si>
    <t>Nepal</t>
  </si>
  <si>
    <t>New Zealand</t>
  </si>
  <si>
    <t>Nicaragua</t>
  </si>
  <si>
    <t>Niger</t>
  </si>
  <si>
    <t>Nigeria</t>
  </si>
  <si>
    <t>Pakistan</t>
  </si>
  <si>
    <t>Peru</t>
  </si>
  <si>
    <t>Philippines</t>
  </si>
  <si>
    <t>Puerto Rico</t>
  </si>
  <si>
    <t>Qatar</t>
  </si>
  <si>
    <t>Romania</t>
  </si>
  <si>
    <t>Rwanda</t>
  </si>
  <si>
    <t>Senegal</t>
  </si>
  <si>
    <t>Sierra Leone</t>
  </si>
  <si>
    <t>Singapore</t>
  </si>
  <si>
    <t>Somalia</t>
  </si>
  <si>
    <t>South Africa</t>
  </si>
  <si>
    <t>South Sudan</t>
  </si>
  <si>
    <t>Syrian Arab Republic</t>
  </si>
  <si>
    <t>Tanzania</t>
  </si>
  <si>
    <t>Thailand</t>
  </si>
  <si>
    <t>Timor-Leste</t>
  </si>
  <si>
    <t>Togo</t>
  </si>
  <si>
    <t>Tunisia</t>
  </si>
  <si>
    <t>Uganda</t>
  </si>
  <si>
    <t>United Arab Emirates</t>
  </si>
  <si>
    <t>Vanuatu</t>
  </si>
  <si>
    <t>Vietnam</t>
  </si>
  <si>
    <t>West Bank and Gaza</t>
  </si>
  <si>
    <t>Yemen, Rep.</t>
  </si>
  <si>
    <t>Zambia</t>
  </si>
  <si>
    <t>Zimbabwe</t>
  </si>
  <si>
    <t>Angola</t>
  </si>
  <si>
    <t>Barbados</t>
  </si>
  <si>
    <t>Belize</t>
  </si>
  <si>
    <t>Cabo Verde</t>
  </si>
  <si>
    <t>Comoros</t>
  </si>
  <si>
    <t>Equatorial Guinea</t>
  </si>
  <si>
    <t>Eritrea</t>
  </si>
  <si>
    <t>Greece</t>
  </si>
  <si>
    <t>Guinea-Bissau</t>
  </si>
  <si>
    <t>Ireland</t>
  </si>
  <si>
    <t>Lesotho</t>
  </si>
  <si>
    <t>Paraguay</t>
  </si>
  <si>
    <t>Seychelles</t>
  </si>
  <si>
    <t>Sudan</t>
  </si>
  <si>
    <t>Uruguay</t>
  </si>
  <si>
    <t>Albania</t>
  </si>
  <si>
    <t>Andorra</t>
  </si>
  <si>
    <t>Armenia</t>
  </si>
  <si>
    <t>Belarus</t>
  </si>
  <si>
    <t>Bosnia and Herzegovina</t>
  </si>
  <si>
    <t>Bulgaria</t>
  </si>
  <si>
    <t>Central African Republic</t>
  </si>
  <si>
    <t>Costa Rica</t>
  </si>
  <si>
    <t>Croatia</t>
  </si>
  <si>
    <t>Cyprus</t>
  </si>
  <si>
    <t>Dominica</t>
  </si>
  <si>
    <t>Dominican Republic</t>
  </si>
  <si>
    <t>Honduras</t>
  </si>
  <si>
    <t>Kosovo</t>
  </si>
  <si>
    <t>Latvia</t>
  </si>
  <si>
    <t>Lithuania</t>
  </si>
  <si>
    <t>Malta</t>
  </si>
  <si>
    <t>Moldova</t>
  </si>
  <si>
    <t>Monaco</t>
  </si>
  <si>
    <t>Montenegro</t>
  </si>
  <si>
    <t>North Macedonia</t>
  </si>
  <si>
    <t>Panama</t>
  </si>
  <si>
    <t>Russian Federation</t>
  </si>
  <si>
    <t>Serbia</t>
  </si>
  <si>
    <t>Slovenia</t>
  </si>
  <si>
    <t>Sri Lanka</t>
  </si>
  <si>
    <t>Suriname</t>
  </si>
  <si>
    <t>Turkey</t>
  </si>
  <si>
    <t>Ukraine</t>
  </si>
  <si>
    <t>Virgin Islands (U.S.)</t>
  </si>
  <si>
    <t>Cambodia</t>
  </si>
  <si>
    <t>El Salvador</t>
  </si>
  <si>
    <t>Kazakhstan</t>
  </si>
  <si>
    <t>Luxembourg</t>
  </si>
  <si>
    <t>Saudi Arabia</t>
  </si>
  <si>
    <t>Afghanistan</t>
  </si>
  <si>
    <t>Antigua and Barbuda</t>
  </si>
  <si>
    <t>Bangladesh</t>
  </si>
  <si>
    <t>Bhutan</t>
  </si>
  <si>
    <t>British Virgin Islands</t>
  </si>
  <si>
    <t>Chad</t>
  </si>
  <si>
    <t>Greenland</t>
  </si>
  <si>
    <t>Korea, Dem. People’s Rep.</t>
  </si>
  <si>
    <t>Kyrgyz Republic</t>
  </si>
  <si>
    <t>Lao PDR</t>
  </si>
  <si>
    <t>Liechtenstein</t>
  </si>
  <si>
    <t>Myanmar</t>
  </si>
  <si>
    <t>St. Lucia</t>
  </si>
  <si>
    <t>Tajikistan</t>
  </si>
  <si>
    <t>Trinidad and Tobago</t>
  </si>
  <si>
    <t>Azerbaijan</t>
  </si>
  <si>
    <t>Bahamas, The</t>
  </si>
  <si>
    <t>Bermuda</t>
  </si>
  <si>
    <t>Cayman Islands</t>
  </si>
  <si>
    <t>Faroe Islands</t>
  </si>
  <si>
    <t>Fiji</t>
  </si>
  <si>
    <t>Macao SAR, China</t>
  </si>
  <si>
    <t>New Caledonia</t>
  </si>
  <si>
    <t>Northern Mariana Islands</t>
  </si>
  <si>
    <t>Papua New Guinea</t>
  </si>
  <si>
    <t>Samoa</t>
  </si>
  <si>
    <t>Solomon Islands</t>
  </si>
  <si>
    <t>Tonga</t>
  </si>
  <si>
    <t>Isle of Man</t>
  </si>
  <si>
    <t>Grenada</t>
  </si>
  <si>
    <t>Maldives</t>
  </si>
  <si>
    <t>CPI</t>
  </si>
  <si>
    <t>Trade share</t>
  </si>
  <si>
    <t>credit private</t>
  </si>
  <si>
    <t>gov spending</t>
  </si>
  <si>
    <t>pop growth</t>
  </si>
  <si>
    <t>educ</t>
  </si>
  <si>
    <t>GDP_real</t>
  </si>
  <si>
    <t>population</t>
  </si>
  <si>
    <t>GDP_growth_real</t>
  </si>
  <si>
    <t>GDP_cap_real</t>
  </si>
  <si>
    <t>democracy</t>
  </si>
  <si>
    <t>GDP_cap_real_growth</t>
  </si>
  <si>
    <t>ID</t>
  </si>
  <si>
    <t>GDP_nominal</t>
  </si>
  <si>
    <t>lag_GDP_cap</t>
  </si>
  <si>
    <t>total fintech</t>
  </si>
  <si>
    <t>BEL</t>
  </si>
  <si>
    <t>EST</t>
  </si>
  <si>
    <t>FIN</t>
  </si>
  <si>
    <t>FRA</t>
  </si>
  <si>
    <t>DNK</t>
  </si>
  <si>
    <t>DEU</t>
  </si>
  <si>
    <t>ISL</t>
  </si>
  <si>
    <t>NLD</t>
  </si>
  <si>
    <t>NOR</t>
  </si>
  <si>
    <t>POL</t>
  </si>
  <si>
    <t>PRT</t>
  </si>
  <si>
    <t>SVK</t>
  </si>
  <si>
    <t>ESP</t>
  </si>
  <si>
    <t>SWE</t>
  </si>
  <si>
    <t>CHE</t>
  </si>
  <si>
    <t>GBR</t>
  </si>
  <si>
    <t>USA</t>
  </si>
  <si>
    <t>DZA</t>
  </si>
  <si>
    <t>ARG</t>
  </si>
  <si>
    <t>AUS</t>
  </si>
  <si>
    <t>AUT</t>
  </si>
  <si>
    <t>BEN</t>
  </si>
  <si>
    <t>BOL</t>
  </si>
  <si>
    <t>BWA</t>
  </si>
  <si>
    <t>BRA</t>
  </si>
  <si>
    <t>BFA</t>
  </si>
  <si>
    <t>CMR</t>
  </si>
  <si>
    <t>CAN</t>
  </si>
  <si>
    <t>CHL</t>
  </si>
  <si>
    <t>CHN</t>
  </si>
  <si>
    <t>COL</t>
  </si>
  <si>
    <t>COD</t>
  </si>
  <si>
    <t>COG</t>
  </si>
  <si>
    <t>CIV</t>
  </si>
  <si>
    <t>CZE</t>
  </si>
  <si>
    <t>ECU</t>
  </si>
  <si>
    <t>EGY</t>
  </si>
  <si>
    <t>SWZ</t>
  </si>
  <si>
    <t>ETH</t>
  </si>
  <si>
    <t>GAB</t>
  </si>
  <si>
    <t>GMB</t>
  </si>
  <si>
    <t>GEO</t>
  </si>
  <si>
    <t>GHA</t>
  </si>
  <si>
    <t>GTM</t>
  </si>
  <si>
    <t>GIN</t>
  </si>
  <si>
    <t>HKG</t>
  </si>
  <si>
    <t>HUN</t>
  </si>
  <si>
    <t>IND</t>
  </si>
  <si>
    <t>IDN</t>
  </si>
  <si>
    <t>IRN</t>
  </si>
  <si>
    <t>IRQ</t>
  </si>
  <si>
    <t>ISR</t>
  </si>
  <si>
    <t>ITA</t>
  </si>
  <si>
    <t>JAM</t>
  </si>
  <si>
    <t>JPN</t>
  </si>
  <si>
    <t>JOR</t>
  </si>
  <si>
    <t>KEN</t>
  </si>
  <si>
    <t>KOR</t>
  </si>
  <si>
    <t>LBN</t>
  </si>
  <si>
    <t>LBR</t>
  </si>
  <si>
    <t>MDG</t>
  </si>
  <si>
    <t>MWI</t>
  </si>
  <si>
    <t>MYS</t>
  </si>
  <si>
    <t>MLI</t>
  </si>
  <si>
    <t>MRT</t>
  </si>
  <si>
    <t>MUS</t>
  </si>
  <si>
    <t>MEX</t>
  </si>
  <si>
    <t>MNG</t>
  </si>
  <si>
    <t>MAR</t>
  </si>
  <si>
    <t>MOZ</t>
  </si>
  <si>
    <t>NAM</t>
  </si>
  <si>
    <t>NPL</t>
  </si>
  <si>
    <t>NZL</t>
  </si>
  <si>
    <t>NIC</t>
  </si>
  <si>
    <t>NER</t>
  </si>
  <si>
    <t>NGA</t>
  </si>
  <si>
    <t>PAK</t>
  </si>
  <si>
    <t>PER</t>
  </si>
  <si>
    <t>PHL</t>
  </si>
  <si>
    <t>ROU</t>
  </si>
  <si>
    <t>SEN</t>
  </si>
  <si>
    <t>SLE</t>
  </si>
  <si>
    <t>SGP</t>
  </si>
  <si>
    <t>ZAF</t>
  </si>
  <si>
    <t>SSD</t>
  </si>
  <si>
    <t>TZA</t>
  </si>
  <si>
    <t>THA</t>
  </si>
  <si>
    <t>TGO</t>
  </si>
  <si>
    <t>TUN</t>
  </si>
  <si>
    <t>UGA</t>
  </si>
  <si>
    <t>ARE</t>
  </si>
  <si>
    <t>VNM</t>
  </si>
  <si>
    <t>PSE</t>
  </si>
  <si>
    <t>YEM</t>
  </si>
  <si>
    <t>ZMB</t>
  </si>
  <si>
    <t>ZWE</t>
  </si>
  <si>
    <t>COM</t>
  </si>
  <si>
    <t>GRC</t>
  </si>
  <si>
    <t>IRL</t>
  </si>
  <si>
    <t>LSO</t>
  </si>
  <si>
    <t>PRY</t>
  </si>
  <si>
    <t>URY</t>
  </si>
  <si>
    <t>ALB</t>
  </si>
  <si>
    <t>ARM</t>
  </si>
  <si>
    <t>BIH</t>
  </si>
  <si>
    <t>BGR</t>
  </si>
  <si>
    <t>CRI</t>
  </si>
  <si>
    <t>HRV</t>
  </si>
  <si>
    <t>CYP</t>
  </si>
  <si>
    <t>DOM</t>
  </si>
  <si>
    <t>HND</t>
  </si>
  <si>
    <t>XKX</t>
  </si>
  <si>
    <t>LVA</t>
  </si>
  <si>
    <t>LTU</t>
  </si>
  <si>
    <t>MLT</t>
  </si>
  <si>
    <t>MDA</t>
  </si>
  <si>
    <t>MKD</t>
  </si>
  <si>
    <t>PAN</t>
  </si>
  <si>
    <t>RUS</t>
  </si>
  <si>
    <t>SRB</t>
  </si>
  <si>
    <t>SVN</t>
  </si>
  <si>
    <t>LKA</t>
  </si>
  <si>
    <t>TUR</t>
  </si>
  <si>
    <t>UKR</t>
  </si>
  <si>
    <t>KHM</t>
  </si>
  <si>
    <t>SLV</t>
  </si>
  <si>
    <t>KAZ</t>
  </si>
  <si>
    <t>SAU</t>
  </si>
  <si>
    <t>AFG</t>
  </si>
  <si>
    <t>BGD</t>
  </si>
  <si>
    <t>TCD</t>
  </si>
  <si>
    <t>KGZ</t>
  </si>
  <si>
    <t>LAO</t>
  </si>
  <si>
    <t>MMR</t>
  </si>
  <si>
    <t>TJK</t>
  </si>
  <si>
    <t>AZE</t>
  </si>
  <si>
    <t>BHR</t>
  </si>
  <si>
    <t>BDI</t>
  </si>
  <si>
    <t>CUB</t>
  </si>
  <si>
    <t>HTI</t>
  </si>
  <si>
    <t>KWT</t>
  </si>
  <si>
    <t>PRI</t>
  </si>
  <si>
    <t>QAT</t>
  </si>
  <si>
    <t>RWA</t>
  </si>
  <si>
    <t>SOM</t>
  </si>
  <si>
    <t>SYR</t>
  </si>
  <si>
    <t>TLS</t>
  </si>
  <si>
    <t>VUT</t>
  </si>
  <si>
    <t>AGO</t>
  </si>
  <si>
    <t>BRB</t>
  </si>
  <si>
    <t>BLZ</t>
  </si>
  <si>
    <t>CPV</t>
  </si>
  <si>
    <t>GNQ</t>
  </si>
  <si>
    <t>ERI</t>
  </si>
  <si>
    <t>SYC</t>
  </si>
  <si>
    <t>SDN</t>
  </si>
  <si>
    <t>BLR</t>
  </si>
  <si>
    <t>CF</t>
  </si>
  <si>
    <t>DMA</t>
  </si>
  <si>
    <t>MCO</t>
  </si>
  <si>
    <t>MNE</t>
  </si>
  <si>
    <t>SUR</t>
  </si>
  <si>
    <t>VIR</t>
  </si>
  <si>
    <t>LUX</t>
  </si>
  <si>
    <t>ATG</t>
  </si>
  <si>
    <t>BTN</t>
  </si>
  <si>
    <t>VGB</t>
  </si>
  <si>
    <t>GRL</t>
  </si>
  <si>
    <t>PRK</t>
  </si>
  <si>
    <t>LI</t>
  </si>
  <si>
    <t>LCA</t>
  </si>
  <si>
    <t>TTO</t>
  </si>
  <si>
    <t>BHS</t>
  </si>
  <si>
    <t>BMU</t>
  </si>
  <si>
    <t>CYM</t>
  </si>
  <si>
    <t>FRO</t>
  </si>
  <si>
    <t>FJI</t>
  </si>
  <si>
    <t>MAC</t>
  </si>
  <si>
    <t>NCL</t>
  </si>
  <si>
    <t>MNP</t>
  </si>
  <si>
    <t>PNG</t>
  </si>
  <si>
    <t>WSM</t>
  </si>
  <si>
    <t>SLB</t>
  </si>
  <si>
    <t>TON</t>
  </si>
  <si>
    <t>IMN</t>
  </si>
  <si>
    <t>GRD</t>
  </si>
  <si>
    <t>MDV</t>
  </si>
  <si>
    <t>ATM</t>
  </si>
  <si>
    <t>% with internet</t>
  </si>
  <si>
    <t>tertiary school enrollment</t>
  </si>
  <si>
    <t>OB_regulation_year</t>
  </si>
  <si>
    <t>OB_live_year</t>
  </si>
  <si>
    <t>OB_reg_in_force_it</t>
  </si>
  <si>
    <t>OB_live_active_it</t>
  </si>
  <si>
    <t>OB_impl_lag_years</t>
  </si>
  <si>
    <t>OB_status_binary</t>
  </si>
  <si>
    <t>OB_years_since_reg</t>
  </si>
  <si>
    <t>OB_years_since_live</t>
  </si>
  <si>
    <t>sandbox_start</t>
  </si>
  <si>
    <t>rule_of_law_wgi</t>
  </si>
  <si>
    <t>regulatory_quality_wgi</t>
  </si>
  <si>
    <t>Bank_net_interest_margin</t>
  </si>
  <si>
    <t>Bank_concentration_ratio</t>
  </si>
  <si>
    <t>WUI</t>
  </si>
  <si>
    <t>WB_A3</t>
  </si>
  <si>
    <t>ID_W</t>
  </si>
  <si>
    <t>GNB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</si>
</sst>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7"/>
      <color rgb="FF00000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/>
    <xf numFmtId="0" fontId="2" fillId="0" borderId="0" xfId="0" applyFont="1" applyFill="1" applyBorder="1"/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2" xfId="0" applyFont="1" applyFill="1" applyBorder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2" fontId="3" fillId="0" borderId="0" xfId="0" applyNumberFormat="1" applyFont="1"/>
    <xf numFmtId="0" fontId="1" fillId="0" borderId="0" xfId="0" applyFont="1" applyAlignment="1">
      <alignment wrapText="1"/>
    </xf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unique%20WB_3%20cod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1">
          <cell r="C1" t="str">
            <v>WB_A3</v>
          </cell>
          <cell r="D1" t="str">
            <v>ID_W</v>
          </cell>
        </row>
        <row r="2">
          <cell r="C2" t="str">
            <v>BEL</v>
          </cell>
          <cell r="D2">
            <v>1</v>
          </cell>
        </row>
        <row r="3">
          <cell r="C3" t="str">
            <v>DNK</v>
          </cell>
          <cell r="D3">
            <v>2</v>
          </cell>
        </row>
        <row r="4">
          <cell r="C4" t="str">
            <v>EST</v>
          </cell>
          <cell r="D4">
            <v>3</v>
          </cell>
        </row>
        <row r="5">
          <cell r="C5" t="str">
            <v>FIN</v>
          </cell>
          <cell r="D5">
            <v>4</v>
          </cell>
        </row>
        <row r="6">
          <cell r="C6" t="str">
            <v>FRA</v>
          </cell>
          <cell r="D6">
            <v>5</v>
          </cell>
        </row>
        <row r="7">
          <cell r="C7" t="str">
            <v>DEU</v>
          </cell>
          <cell r="D7">
            <v>6</v>
          </cell>
        </row>
        <row r="8">
          <cell r="C8" t="str">
            <v>ISL</v>
          </cell>
          <cell r="D8">
            <v>7</v>
          </cell>
        </row>
        <row r="9">
          <cell r="C9" t="str">
            <v>NLD</v>
          </cell>
          <cell r="D9">
            <v>8</v>
          </cell>
        </row>
        <row r="10">
          <cell r="C10" t="str">
            <v>NOR</v>
          </cell>
          <cell r="D10">
            <v>9</v>
          </cell>
        </row>
        <row r="11">
          <cell r="C11" t="str">
            <v>POL</v>
          </cell>
          <cell r="D11">
            <v>10</v>
          </cell>
        </row>
        <row r="12">
          <cell r="C12" t="str">
            <v>PRT</v>
          </cell>
          <cell r="D12">
            <v>11</v>
          </cell>
        </row>
        <row r="13">
          <cell r="C13" t="str">
            <v>SVK</v>
          </cell>
          <cell r="D13">
            <v>12</v>
          </cell>
        </row>
        <row r="14">
          <cell r="C14" t="str">
            <v>ESP</v>
          </cell>
          <cell r="D14">
            <v>13</v>
          </cell>
        </row>
        <row r="15">
          <cell r="C15" t="str">
            <v>SWE</v>
          </cell>
          <cell r="D15">
            <v>14</v>
          </cell>
        </row>
        <row r="16">
          <cell r="C16" t="str">
            <v>CHE</v>
          </cell>
          <cell r="D16">
            <v>15</v>
          </cell>
        </row>
        <row r="17">
          <cell r="C17" t="str">
            <v>GBR</v>
          </cell>
          <cell r="D17">
            <v>16</v>
          </cell>
        </row>
        <row r="18">
          <cell r="C18" t="str">
            <v>USA</v>
          </cell>
          <cell r="D18">
            <v>17</v>
          </cell>
        </row>
        <row r="19">
          <cell r="C19" t="str">
            <v>DZA</v>
          </cell>
          <cell r="D19">
            <v>18</v>
          </cell>
        </row>
        <row r="20">
          <cell r="C20" t="str">
            <v>ARG</v>
          </cell>
          <cell r="D20">
            <v>19</v>
          </cell>
        </row>
        <row r="21">
          <cell r="C21" t="str">
            <v>AUS</v>
          </cell>
          <cell r="D21">
            <v>20</v>
          </cell>
        </row>
        <row r="22">
          <cell r="C22" t="str">
            <v>AUT</v>
          </cell>
          <cell r="D22">
            <v>21</v>
          </cell>
        </row>
        <row r="23">
          <cell r="C23" t="str">
            <v>BHR</v>
          </cell>
          <cell r="D23">
            <v>22</v>
          </cell>
        </row>
        <row r="24">
          <cell r="C24" t="str">
            <v>BEN</v>
          </cell>
          <cell r="D24">
            <v>23</v>
          </cell>
        </row>
        <row r="25">
          <cell r="C25" t="str">
            <v>BOL</v>
          </cell>
          <cell r="D25">
            <v>24</v>
          </cell>
        </row>
        <row r="26">
          <cell r="C26" t="str">
            <v>BWA</v>
          </cell>
          <cell r="D26">
            <v>25</v>
          </cell>
        </row>
        <row r="27">
          <cell r="C27" t="str">
            <v>BRA</v>
          </cell>
          <cell r="D27">
            <v>26</v>
          </cell>
        </row>
        <row r="28">
          <cell r="C28" t="str">
            <v>BFA</v>
          </cell>
          <cell r="D28">
            <v>27</v>
          </cell>
        </row>
        <row r="29">
          <cell r="C29" t="str">
            <v>BDI</v>
          </cell>
          <cell r="D29">
            <v>28</v>
          </cell>
        </row>
        <row r="30">
          <cell r="C30" t="str">
            <v>CMR</v>
          </cell>
          <cell r="D30">
            <v>29</v>
          </cell>
        </row>
        <row r="31">
          <cell r="C31" t="str">
            <v>CAN</v>
          </cell>
          <cell r="D31">
            <v>30</v>
          </cell>
        </row>
        <row r="32">
          <cell r="C32" t="str">
            <v>CHL</v>
          </cell>
          <cell r="D32">
            <v>31</v>
          </cell>
        </row>
        <row r="33">
          <cell r="C33" t="str">
            <v>CHN</v>
          </cell>
          <cell r="D33">
            <v>32</v>
          </cell>
        </row>
        <row r="34">
          <cell r="C34" t="str">
            <v>COL</v>
          </cell>
          <cell r="D34">
            <v>33</v>
          </cell>
        </row>
        <row r="35">
          <cell r="C35" t="str">
            <v>COD</v>
          </cell>
          <cell r="D35">
            <v>34</v>
          </cell>
        </row>
        <row r="36">
          <cell r="C36" t="str">
            <v>COG</v>
          </cell>
          <cell r="D36">
            <v>35</v>
          </cell>
        </row>
        <row r="37">
          <cell r="C37" t="str">
            <v>CIV</v>
          </cell>
          <cell r="D37">
            <v>36</v>
          </cell>
        </row>
        <row r="38">
          <cell r="C38" t="str">
            <v>CUB</v>
          </cell>
          <cell r="D38">
            <v>37</v>
          </cell>
        </row>
        <row r="39">
          <cell r="C39">
            <v>0</v>
          </cell>
          <cell r="D39">
            <v>38</v>
          </cell>
        </row>
        <row r="40">
          <cell r="C40" t="str">
            <v>CZE</v>
          </cell>
          <cell r="D40">
            <v>39</v>
          </cell>
        </row>
        <row r="41">
          <cell r="C41" t="str">
            <v>ECU</v>
          </cell>
          <cell r="D41">
            <v>40</v>
          </cell>
        </row>
        <row r="42">
          <cell r="C42" t="str">
            <v>EGY</v>
          </cell>
          <cell r="D42">
            <v>41</v>
          </cell>
        </row>
        <row r="43">
          <cell r="C43" t="str">
            <v>SWZ</v>
          </cell>
          <cell r="D43">
            <v>42</v>
          </cell>
        </row>
        <row r="44">
          <cell r="C44" t="str">
            <v>ETH</v>
          </cell>
          <cell r="D44">
            <v>43</v>
          </cell>
        </row>
        <row r="45">
          <cell r="C45" t="str">
            <v>GAB</v>
          </cell>
          <cell r="D45">
            <v>44</v>
          </cell>
        </row>
        <row r="46">
          <cell r="C46" t="str">
            <v>GMB</v>
          </cell>
          <cell r="D46">
            <v>45</v>
          </cell>
        </row>
        <row r="47">
          <cell r="C47" t="str">
            <v>GEO</v>
          </cell>
          <cell r="D47">
            <v>46</v>
          </cell>
        </row>
        <row r="48">
          <cell r="C48" t="str">
            <v>GHA</v>
          </cell>
          <cell r="D48">
            <v>47</v>
          </cell>
        </row>
        <row r="49">
          <cell r="C49" t="str">
            <v>GTM</v>
          </cell>
          <cell r="D49">
            <v>48</v>
          </cell>
        </row>
        <row r="50">
          <cell r="C50" t="str">
            <v>GIN</v>
          </cell>
          <cell r="D50">
            <v>49</v>
          </cell>
        </row>
        <row r="51">
          <cell r="C51" t="str">
            <v>HTI</v>
          </cell>
          <cell r="D51">
            <v>50</v>
          </cell>
        </row>
        <row r="52">
          <cell r="C52" t="str">
            <v>HKG</v>
          </cell>
          <cell r="D52">
            <v>51</v>
          </cell>
        </row>
        <row r="53">
          <cell r="C53" t="str">
            <v>HUN</v>
          </cell>
          <cell r="D53">
            <v>52</v>
          </cell>
        </row>
        <row r="54">
          <cell r="C54" t="str">
            <v>IND</v>
          </cell>
          <cell r="D54">
            <v>53</v>
          </cell>
        </row>
        <row r="55">
          <cell r="C55" t="str">
            <v>IDN</v>
          </cell>
          <cell r="D55">
            <v>54</v>
          </cell>
        </row>
        <row r="56">
          <cell r="C56" t="str">
            <v>IRN</v>
          </cell>
          <cell r="D56">
            <v>55</v>
          </cell>
        </row>
        <row r="57">
          <cell r="C57" t="str">
            <v>IRQ</v>
          </cell>
          <cell r="D57">
            <v>56</v>
          </cell>
        </row>
        <row r="58">
          <cell r="C58" t="str">
            <v>ISR</v>
          </cell>
          <cell r="D58">
            <v>57</v>
          </cell>
        </row>
        <row r="59">
          <cell r="C59" t="str">
            <v>ITA</v>
          </cell>
          <cell r="D59">
            <v>58</v>
          </cell>
        </row>
        <row r="60">
          <cell r="C60" t="str">
            <v>JAM</v>
          </cell>
          <cell r="D60">
            <v>59</v>
          </cell>
        </row>
        <row r="61">
          <cell r="C61" t="str">
            <v>JPN</v>
          </cell>
          <cell r="D61">
            <v>60</v>
          </cell>
        </row>
        <row r="62">
          <cell r="C62" t="str">
            <v>JOR</v>
          </cell>
          <cell r="D62">
            <v>61</v>
          </cell>
        </row>
        <row r="63">
          <cell r="C63" t="str">
            <v>KEN</v>
          </cell>
          <cell r="D63">
            <v>62</v>
          </cell>
        </row>
        <row r="64">
          <cell r="C64" t="str">
            <v>KOR</v>
          </cell>
          <cell r="D64">
            <v>63</v>
          </cell>
        </row>
        <row r="65">
          <cell r="C65" t="str">
            <v>KWT</v>
          </cell>
          <cell r="D65">
            <v>64</v>
          </cell>
        </row>
        <row r="66">
          <cell r="C66" t="str">
            <v>LBN</v>
          </cell>
          <cell r="D66">
            <v>65</v>
          </cell>
        </row>
        <row r="67">
          <cell r="C67" t="str">
            <v>LBR</v>
          </cell>
          <cell r="D67">
            <v>66</v>
          </cell>
        </row>
        <row r="68">
          <cell r="C68" t="str">
            <v>MDG</v>
          </cell>
          <cell r="D68">
            <v>67</v>
          </cell>
        </row>
        <row r="69">
          <cell r="C69" t="str">
            <v>MWI</v>
          </cell>
          <cell r="D69">
            <v>68</v>
          </cell>
        </row>
        <row r="70">
          <cell r="C70" t="str">
            <v>MYS</v>
          </cell>
          <cell r="D70">
            <v>69</v>
          </cell>
        </row>
        <row r="71">
          <cell r="C71" t="str">
            <v>MLI</v>
          </cell>
          <cell r="D71">
            <v>70</v>
          </cell>
        </row>
        <row r="72">
          <cell r="C72" t="str">
            <v>MRT</v>
          </cell>
          <cell r="D72">
            <v>71</v>
          </cell>
        </row>
        <row r="73">
          <cell r="C73" t="str">
            <v>MUS</v>
          </cell>
          <cell r="D73">
            <v>72</v>
          </cell>
        </row>
        <row r="74">
          <cell r="C74" t="str">
            <v>MEX</v>
          </cell>
          <cell r="D74">
            <v>73</v>
          </cell>
        </row>
        <row r="75">
          <cell r="C75" t="str">
            <v>MNG</v>
          </cell>
          <cell r="D75">
            <v>74</v>
          </cell>
        </row>
        <row r="76">
          <cell r="C76" t="str">
            <v>MAR</v>
          </cell>
          <cell r="D76">
            <v>75</v>
          </cell>
        </row>
        <row r="77">
          <cell r="C77" t="str">
            <v>MOZ</v>
          </cell>
          <cell r="D77">
            <v>76</v>
          </cell>
        </row>
        <row r="78">
          <cell r="C78" t="str">
            <v>NAM</v>
          </cell>
          <cell r="D78">
            <v>77</v>
          </cell>
        </row>
        <row r="79">
          <cell r="C79" t="str">
            <v>NPL</v>
          </cell>
          <cell r="D79">
            <v>78</v>
          </cell>
        </row>
        <row r="80">
          <cell r="C80" t="str">
            <v>NZL</v>
          </cell>
          <cell r="D80">
            <v>79</v>
          </cell>
        </row>
        <row r="81">
          <cell r="C81" t="str">
            <v>NIC</v>
          </cell>
          <cell r="D81">
            <v>80</v>
          </cell>
        </row>
        <row r="82">
          <cell r="C82" t="str">
            <v>NER</v>
          </cell>
          <cell r="D82">
            <v>81</v>
          </cell>
        </row>
        <row r="83">
          <cell r="C83" t="str">
            <v>NGA</v>
          </cell>
          <cell r="D83">
            <v>82</v>
          </cell>
        </row>
        <row r="84">
          <cell r="C84" t="str">
            <v>PAK</v>
          </cell>
          <cell r="D84">
            <v>83</v>
          </cell>
        </row>
        <row r="85">
          <cell r="C85" t="str">
            <v>PER</v>
          </cell>
          <cell r="D85">
            <v>84</v>
          </cell>
        </row>
        <row r="86">
          <cell r="C86" t="str">
            <v>PHL</v>
          </cell>
          <cell r="D86">
            <v>85</v>
          </cell>
        </row>
        <row r="87">
          <cell r="C87" t="str">
            <v>PRI</v>
          </cell>
          <cell r="D87">
            <v>86</v>
          </cell>
        </row>
        <row r="88">
          <cell r="C88" t="str">
            <v>QAT</v>
          </cell>
          <cell r="D88">
            <v>87</v>
          </cell>
        </row>
        <row r="89">
          <cell r="C89" t="str">
            <v>ROU</v>
          </cell>
          <cell r="D89">
            <v>88</v>
          </cell>
        </row>
        <row r="90">
          <cell r="C90" t="str">
            <v>RWA</v>
          </cell>
          <cell r="D90">
            <v>89</v>
          </cell>
        </row>
        <row r="91">
          <cell r="C91" t="str">
            <v>SEN</v>
          </cell>
          <cell r="D91">
            <v>90</v>
          </cell>
        </row>
        <row r="92">
          <cell r="C92" t="str">
            <v>SLE</v>
          </cell>
          <cell r="D92">
            <v>91</v>
          </cell>
        </row>
        <row r="93">
          <cell r="C93" t="str">
            <v>SGP</v>
          </cell>
          <cell r="D93">
            <v>92</v>
          </cell>
        </row>
        <row r="94">
          <cell r="C94" t="str">
            <v>SOM</v>
          </cell>
          <cell r="D94">
            <v>93</v>
          </cell>
        </row>
        <row r="95">
          <cell r="C95" t="str">
            <v>ZAF</v>
          </cell>
          <cell r="D95">
            <v>94</v>
          </cell>
        </row>
        <row r="96">
          <cell r="C96" t="str">
            <v>SSD</v>
          </cell>
          <cell r="D96">
            <v>95</v>
          </cell>
        </row>
        <row r="97">
          <cell r="C97" t="str">
            <v>SYR</v>
          </cell>
          <cell r="D97">
            <v>96</v>
          </cell>
        </row>
        <row r="98">
          <cell r="C98" t="str">
            <v>TZA</v>
          </cell>
          <cell r="D98">
            <v>97</v>
          </cell>
        </row>
        <row r="99">
          <cell r="C99" t="str">
            <v>THA</v>
          </cell>
          <cell r="D99">
            <v>98</v>
          </cell>
        </row>
        <row r="100">
          <cell r="C100" t="str">
            <v>TLS</v>
          </cell>
          <cell r="D100">
            <v>99</v>
          </cell>
        </row>
        <row r="101">
          <cell r="C101" t="str">
            <v>TGO</v>
          </cell>
          <cell r="D101">
            <v>100</v>
          </cell>
        </row>
        <row r="102">
          <cell r="C102" t="str">
            <v>TUN</v>
          </cell>
          <cell r="D102">
            <v>101</v>
          </cell>
        </row>
        <row r="103">
          <cell r="C103" t="str">
            <v>UGA</v>
          </cell>
          <cell r="D103">
            <v>102</v>
          </cell>
        </row>
        <row r="104">
          <cell r="C104" t="str">
            <v>ARE</v>
          </cell>
          <cell r="D104">
            <v>103</v>
          </cell>
        </row>
        <row r="105">
          <cell r="C105" t="str">
            <v>VUT</v>
          </cell>
          <cell r="D105">
            <v>104</v>
          </cell>
        </row>
        <row r="106">
          <cell r="C106" t="str">
            <v>VNM</v>
          </cell>
          <cell r="D106">
            <v>105</v>
          </cell>
        </row>
        <row r="107">
          <cell r="C107" t="str">
            <v>PSE</v>
          </cell>
          <cell r="D107">
            <v>106</v>
          </cell>
        </row>
        <row r="108">
          <cell r="C108" t="str">
            <v>YEM</v>
          </cell>
          <cell r="D108">
            <v>107</v>
          </cell>
        </row>
        <row r="109">
          <cell r="C109" t="str">
            <v>ZMB</v>
          </cell>
          <cell r="D109">
            <v>108</v>
          </cell>
        </row>
        <row r="110">
          <cell r="C110" t="str">
            <v>ZWE</v>
          </cell>
          <cell r="D110">
            <v>109</v>
          </cell>
        </row>
        <row r="111">
          <cell r="C111" t="str">
            <v>AGO</v>
          </cell>
          <cell r="D111">
            <v>110</v>
          </cell>
        </row>
        <row r="112">
          <cell r="C112" t="str">
            <v>BRB</v>
          </cell>
          <cell r="D112">
            <v>111</v>
          </cell>
        </row>
        <row r="113">
          <cell r="C113" t="str">
            <v>BLZ</v>
          </cell>
          <cell r="D113">
            <v>112</v>
          </cell>
        </row>
        <row r="114">
          <cell r="C114" t="str">
            <v>CPV</v>
          </cell>
          <cell r="D114">
            <v>113</v>
          </cell>
        </row>
        <row r="115">
          <cell r="C115" t="str">
            <v>COM</v>
          </cell>
          <cell r="D115">
            <v>114</v>
          </cell>
        </row>
        <row r="116">
          <cell r="C116" t="str">
            <v>GNQ</v>
          </cell>
          <cell r="D116">
            <v>115</v>
          </cell>
        </row>
        <row r="117">
          <cell r="C117" t="str">
            <v>ERI</v>
          </cell>
          <cell r="D117">
            <v>116</v>
          </cell>
        </row>
        <row r="118">
          <cell r="C118" t="str">
            <v>GRC</v>
          </cell>
          <cell r="D118">
            <v>117</v>
          </cell>
        </row>
        <row r="119">
          <cell r="C119" t="str">
            <v>GIN</v>
          </cell>
          <cell r="D119">
            <v>118</v>
          </cell>
        </row>
        <row r="120">
          <cell r="C120" t="str">
            <v>IRL</v>
          </cell>
          <cell r="D120">
            <v>119</v>
          </cell>
        </row>
        <row r="121">
          <cell r="C121" t="str">
            <v>LSO</v>
          </cell>
          <cell r="D121">
            <v>120</v>
          </cell>
        </row>
        <row r="122">
          <cell r="C122" t="str">
            <v>PRY</v>
          </cell>
          <cell r="D122">
            <v>121</v>
          </cell>
        </row>
        <row r="123">
          <cell r="C123" t="str">
            <v>SYC</v>
          </cell>
          <cell r="D123">
            <v>122</v>
          </cell>
        </row>
        <row r="124">
          <cell r="C124" t="str">
            <v>SDN</v>
          </cell>
          <cell r="D124">
            <v>123</v>
          </cell>
        </row>
        <row r="125">
          <cell r="C125" t="str">
            <v>URY</v>
          </cell>
          <cell r="D125">
            <v>124</v>
          </cell>
        </row>
        <row r="126">
          <cell r="C126" t="str">
            <v>ALB</v>
          </cell>
          <cell r="D126">
            <v>125</v>
          </cell>
        </row>
        <row r="127">
          <cell r="C127">
            <v>0</v>
          </cell>
          <cell r="D127">
            <v>126</v>
          </cell>
        </row>
        <row r="128">
          <cell r="C128" t="str">
            <v>ARM</v>
          </cell>
          <cell r="D128">
            <v>127</v>
          </cell>
        </row>
        <row r="129">
          <cell r="C129" t="str">
            <v>BLR</v>
          </cell>
          <cell r="D129">
            <v>128</v>
          </cell>
        </row>
        <row r="130">
          <cell r="C130" t="str">
            <v>BIH</v>
          </cell>
          <cell r="D130">
            <v>129</v>
          </cell>
        </row>
        <row r="131">
          <cell r="C131" t="str">
            <v>BGR</v>
          </cell>
          <cell r="D131">
            <v>130</v>
          </cell>
        </row>
        <row r="132">
          <cell r="C132" t="str">
            <v>CF</v>
          </cell>
          <cell r="D132">
            <v>131</v>
          </cell>
        </row>
        <row r="133">
          <cell r="C133" t="str">
            <v>CRI</v>
          </cell>
          <cell r="D133">
            <v>132</v>
          </cell>
        </row>
        <row r="134">
          <cell r="C134" t="str">
            <v>HRV</v>
          </cell>
          <cell r="D134">
            <v>133</v>
          </cell>
        </row>
        <row r="135">
          <cell r="C135" t="str">
            <v>CYP</v>
          </cell>
          <cell r="D135">
            <v>134</v>
          </cell>
        </row>
        <row r="136">
          <cell r="C136" t="str">
            <v>DMA</v>
          </cell>
          <cell r="D136">
            <v>135</v>
          </cell>
        </row>
        <row r="137">
          <cell r="C137" t="str">
            <v>DOM</v>
          </cell>
          <cell r="D137">
            <v>136</v>
          </cell>
        </row>
        <row r="138">
          <cell r="C138" t="str">
            <v>HND</v>
          </cell>
          <cell r="D138">
            <v>137</v>
          </cell>
        </row>
        <row r="139">
          <cell r="C139" t="str">
            <v>XKX</v>
          </cell>
          <cell r="D139">
            <v>138</v>
          </cell>
        </row>
        <row r="140">
          <cell r="C140" t="str">
            <v>LVA</v>
          </cell>
          <cell r="D140">
            <v>139</v>
          </cell>
        </row>
        <row r="141">
          <cell r="C141" t="str">
            <v>LTU</v>
          </cell>
          <cell r="D141">
            <v>140</v>
          </cell>
        </row>
        <row r="142">
          <cell r="C142" t="str">
            <v>MLT</v>
          </cell>
          <cell r="D142">
            <v>141</v>
          </cell>
        </row>
        <row r="143">
          <cell r="C143" t="str">
            <v>MDA</v>
          </cell>
          <cell r="D143">
            <v>142</v>
          </cell>
        </row>
        <row r="144">
          <cell r="C144" t="str">
            <v>MCO</v>
          </cell>
          <cell r="D144">
            <v>143</v>
          </cell>
        </row>
        <row r="145">
          <cell r="C145" t="str">
            <v>MNE</v>
          </cell>
          <cell r="D145">
            <v>144</v>
          </cell>
        </row>
        <row r="146">
          <cell r="C146" t="str">
            <v>MKD</v>
          </cell>
          <cell r="D146">
            <v>145</v>
          </cell>
        </row>
        <row r="147">
          <cell r="C147" t="str">
            <v>PAN</v>
          </cell>
          <cell r="D147">
            <v>146</v>
          </cell>
        </row>
        <row r="148">
          <cell r="C148" t="str">
            <v>RUS</v>
          </cell>
          <cell r="D148">
            <v>147</v>
          </cell>
        </row>
        <row r="149">
          <cell r="C149" t="str">
            <v>SRB</v>
          </cell>
          <cell r="D149">
            <v>148</v>
          </cell>
        </row>
        <row r="150">
          <cell r="C150" t="str">
            <v>SVN</v>
          </cell>
          <cell r="D150">
            <v>149</v>
          </cell>
        </row>
        <row r="151">
          <cell r="C151" t="str">
            <v>LKA</v>
          </cell>
          <cell r="D151">
            <v>150</v>
          </cell>
        </row>
        <row r="152">
          <cell r="C152" t="str">
            <v>SUR</v>
          </cell>
          <cell r="D152">
            <v>151</v>
          </cell>
        </row>
        <row r="153">
          <cell r="C153" t="str">
            <v>TUR</v>
          </cell>
          <cell r="D153">
            <v>152</v>
          </cell>
        </row>
        <row r="154">
          <cell r="C154" t="str">
            <v>UKR</v>
          </cell>
          <cell r="D154">
            <v>153</v>
          </cell>
        </row>
        <row r="155">
          <cell r="C155" t="str">
            <v>VIR</v>
          </cell>
          <cell r="D155">
            <v>154</v>
          </cell>
        </row>
        <row r="156">
          <cell r="C156" t="str">
            <v>KHM</v>
          </cell>
          <cell r="D156">
            <v>155</v>
          </cell>
        </row>
        <row r="157">
          <cell r="C157" t="str">
            <v>SLV</v>
          </cell>
          <cell r="D157">
            <v>156</v>
          </cell>
        </row>
        <row r="158">
          <cell r="C158" t="str">
            <v>KAZ</v>
          </cell>
          <cell r="D158">
            <v>157</v>
          </cell>
        </row>
        <row r="159">
          <cell r="C159" t="str">
            <v>LUX</v>
          </cell>
          <cell r="D159">
            <v>158</v>
          </cell>
        </row>
        <row r="160">
          <cell r="C160" t="str">
            <v>SAU</v>
          </cell>
          <cell r="D160">
            <v>159</v>
          </cell>
        </row>
        <row r="161">
          <cell r="C161" t="str">
            <v>AFG</v>
          </cell>
          <cell r="D161">
            <v>160</v>
          </cell>
        </row>
        <row r="162">
          <cell r="C162" t="str">
            <v>ATG</v>
          </cell>
          <cell r="D162">
            <v>161</v>
          </cell>
        </row>
        <row r="163">
          <cell r="C163" t="str">
            <v>BGD</v>
          </cell>
          <cell r="D163">
            <v>162</v>
          </cell>
        </row>
        <row r="164">
          <cell r="C164" t="str">
            <v>BTN</v>
          </cell>
          <cell r="D164">
            <v>163</v>
          </cell>
        </row>
        <row r="165">
          <cell r="C165" t="str">
            <v>VGB</v>
          </cell>
          <cell r="D165">
            <v>164</v>
          </cell>
        </row>
        <row r="166">
          <cell r="C166" t="str">
            <v>TCD</v>
          </cell>
          <cell r="D166">
            <v>165</v>
          </cell>
        </row>
        <row r="167">
          <cell r="C167" t="str">
            <v>GRL</v>
          </cell>
          <cell r="D167">
            <v>166</v>
          </cell>
        </row>
        <row r="168">
          <cell r="C168" t="str">
            <v>PRK</v>
          </cell>
          <cell r="D168">
            <v>167</v>
          </cell>
        </row>
        <row r="169">
          <cell r="C169" t="str">
            <v>KGZ</v>
          </cell>
          <cell r="D169">
            <v>168</v>
          </cell>
        </row>
        <row r="170">
          <cell r="C170" t="str">
            <v>LAO</v>
          </cell>
          <cell r="D170">
            <v>169</v>
          </cell>
        </row>
        <row r="171">
          <cell r="C171" t="str">
            <v>LI</v>
          </cell>
          <cell r="D171">
            <v>170</v>
          </cell>
        </row>
        <row r="172">
          <cell r="C172" t="str">
            <v>MMR</v>
          </cell>
          <cell r="D172">
            <v>171</v>
          </cell>
        </row>
        <row r="173">
          <cell r="C173" t="str">
            <v>LCA</v>
          </cell>
          <cell r="D173">
            <v>172</v>
          </cell>
        </row>
        <row r="174">
          <cell r="C174" t="str">
            <v>TJK</v>
          </cell>
          <cell r="D174">
            <v>173</v>
          </cell>
        </row>
        <row r="175">
          <cell r="C175" t="str">
            <v>TTO</v>
          </cell>
          <cell r="D175">
            <v>174</v>
          </cell>
        </row>
        <row r="176">
          <cell r="C176" t="str">
            <v>AZE</v>
          </cell>
          <cell r="D176">
            <v>175</v>
          </cell>
        </row>
        <row r="177">
          <cell r="C177" t="str">
            <v>BHS</v>
          </cell>
          <cell r="D177">
            <v>176</v>
          </cell>
        </row>
        <row r="178">
          <cell r="C178" t="str">
            <v>BMU</v>
          </cell>
          <cell r="D178">
            <v>177</v>
          </cell>
        </row>
        <row r="179">
          <cell r="C179" t="str">
            <v>CYM</v>
          </cell>
          <cell r="D179">
            <v>178</v>
          </cell>
        </row>
        <row r="180">
          <cell r="C180" t="str">
            <v>FRO</v>
          </cell>
          <cell r="D180">
            <v>179</v>
          </cell>
        </row>
        <row r="181">
          <cell r="C181" t="str">
            <v>FJI</v>
          </cell>
          <cell r="D181">
            <v>180</v>
          </cell>
        </row>
        <row r="182">
          <cell r="C182" t="str">
            <v>MAC</v>
          </cell>
          <cell r="D182">
            <v>181</v>
          </cell>
        </row>
        <row r="183">
          <cell r="C183" t="str">
            <v>NCL</v>
          </cell>
          <cell r="D183">
            <v>182</v>
          </cell>
        </row>
        <row r="184">
          <cell r="C184" t="str">
            <v>MNP</v>
          </cell>
          <cell r="D184">
            <v>183</v>
          </cell>
        </row>
        <row r="185">
          <cell r="C185" t="str">
            <v>PNG</v>
          </cell>
          <cell r="D185">
            <v>184</v>
          </cell>
        </row>
        <row r="186">
          <cell r="C186" t="str">
            <v>WSM</v>
          </cell>
          <cell r="D186">
            <v>185</v>
          </cell>
        </row>
        <row r="187">
          <cell r="C187" t="str">
            <v>SLB</v>
          </cell>
          <cell r="D187">
            <v>186</v>
          </cell>
        </row>
        <row r="188">
          <cell r="C188" t="str">
            <v>TON</v>
          </cell>
          <cell r="D188">
            <v>187</v>
          </cell>
        </row>
        <row r="189">
          <cell r="C189" t="str">
            <v>IMN</v>
          </cell>
          <cell r="D189">
            <v>188</v>
          </cell>
        </row>
        <row r="190">
          <cell r="C190" t="str">
            <v>GRD</v>
          </cell>
          <cell r="D190">
            <v>189</v>
          </cell>
        </row>
        <row r="191">
          <cell r="C191" t="str">
            <v>MDV</v>
          </cell>
          <cell r="D191">
            <v>190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187"/>
  <sheetViews>
    <sheetView tabSelected="1" zoomScaleNormal="100" workbookViewId="0">
      <pane ySplit="1" topLeftCell="A2" activePane="bottomLeft" state="frozen"/>
      <selection pane="bottomLeft" activeCell="G11" sqref="G11"/>
    </sheetView>
  </sheetViews>
  <sheetFormatPr defaultRowHeight="14.5" x14ac:dyDescent="0.35"/>
  <cols>
    <col min="2" max="2" width="23.7265625" bestFit="1" customWidth="1"/>
    <col min="3" max="3" width="6.26953125" customWidth="1"/>
    <col min="4" max="4" width="7.6328125" customWidth="1"/>
    <col min="5" max="5" width="18.6328125" customWidth="1"/>
    <col min="6" max="8" width="13.1796875" customWidth="1"/>
    <col min="9" max="9" width="16.36328125" customWidth="1"/>
    <col min="10" max="10" width="18.81640625" customWidth="1"/>
    <col min="11" max="13" width="13.36328125" customWidth="1"/>
    <col min="14" max="14" width="8.7265625" customWidth="1"/>
    <col min="15" max="15" width="10.7265625" customWidth="1"/>
    <col min="16" max="16" width="12.26953125" customWidth="1"/>
    <col min="17" max="18" width="12.08984375" customWidth="1"/>
    <col min="19" max="19" width="10.6328125" customWidth="1"/>
    <col min="20" max="20" width="8.7265625" customWidth="1"/>
    <col min="21" max="21" width="10.08984375" customWidth="1"/>
    <col min="22" max="22" width="11.453125" customWidth="1"/>
    <col min="23" max="23" width="10.6328125" customWidth="1"/>
    <col min="24" max="24" width="11.90625" customWidth="1"/>
    <col min="25" max="25" width="8.7265625" customWidth="1"/>
    <col min="26" max="26" width="11.6328125" customWidth="1"/>
    <col min="27" max="34" width="8.7265625" customWidth="1"/>
    <col min="35" max="35" width="13" customWidth="1"/>
    <col min="36" max="37" width="8.7265625" customWidth="1"/>
  </cols>
  <sheetData>
    <row r="1" spans="1:39" s="3" customFormat="1" ht="43.5" x14ac:dyDescent="0.35">
      <c r="A1" s="4" t="s">
        <v>0</v>
      </c>
      <c r="B1" s="4" t="s">
        <v>1</v>
      </c>
      <c r="C1" s="4" t="s">
        <v>206</v>
      </c>
      <c r="D1" s="4" t="s">
        <v>414</v>
      </c>
      <c r="E1" s="4" t="s">
        <v>2</v>
      </c>
      <c r="F1" s="4" t="s">
        <v>3</v>
      </c>
      <c r="G1" s="5" t="s">
        <v>209</v>
      </c>
      <c r="H1" s="5" t="s">
        <v>200</v>
      </c>
      <c r="I1" s="5" t="s">
        <v>207</v>
      </c>
      <c r="J1" s="5" t="s">
        <v>202</v>
      </c>
      <c r="K1" s="5" t="s">
        <v>203</v>
      </c>
      <c r="L1" s="5" t="s">
        <v>205</v>
      </c>
      <c r="M1" s="5" t="s">
        <v>208</v>
      </c>
      <c r="N1" s="6" t="s">
        <v>194</v>
      </c>
      <c r="O1" s="6" t="s">
        <v>195</v>
      </c>
      <c r="P1" s="6" t="s">
        <v>196</v>
      </c>
      <c r="Q1" s="6" t="s">
        <v>197</v>
      </c>
      <c r="R1" s="6" t="s">
        <v>201</v>
      </c>
      <c r="S1" s="6" t="s">
        <v>198</v>
      </c>
      <c r="T1" s="6" t="s">
        <v>199</v>
      </c>
      <c r="U1" s="6" t="s">
        <v>204</v>
      </c>
      <c r="V1" s="6" t="s">
        <v>397</v>
      </c>
      <c r="W1" s="6" t="s">
        <v>411</v>
      </c>
      <c r="X1" s="6" t="s">
        <v>412</v>
      </c>
      <c r="Y1" s="7" t="s">
        <v>398</v>
      </c>
      <c r="Z1" s="7" t="s">
        <v>399</v>
      </c>
      <c r="AA1" s="10" t="s">
        <v>400</v>
      </c>
      <c r="AB1" s="10" t="s">
        <v>401</v>
      </c>
      <c r="AC1" s="10" t="s">
        <v>402</v>
      </c>
      <c r="AD1" s="10" t="s">
        <v>403</v>
      </c>
      <c r="AE1" s="10" t="s">
        <v>404</v>
      </c>
      <c r="AF1" s="10" t="s">
        <v>405</v>
      </c>
      <c r="AG1" s="10" t="s">
        <v>406</v>
      </c>
      <c r="AH1" s="10" t="s">
        <v>407</v>
      </c>
      <c r="AI1" s="9" t="s">
        <v>408</v>
      </c>
      <c r="AJ1" s="10" t="s">
        <v>409</v>
      </c>
      <c r="AK1" s="10" t="s">
        <v>410</v>
      </c>
      <c r="AL1" s="9" t="s">
        <v>413</v>
      </c>
      <c r="AM1" s="3" t="s">
        <v>415</v>
      </c>
    </row>
    <row r="2" spans="1:39" x14ac:dyDescent="0.35">
      <c r="A2">
        <v>2012</v>
      </c>
      <c r="B2" t="s">
        <v>5</v>
      </c>
      <c r="C2">
        <v>1</v>
      </c>
      <c r="D2" t="s">
        <v>210</v>
      </c>
      <c r="E2">
        <v>158414.6256</v>
      </c>
      <c r="F2">
        <v>192874.95</v>
      </c>
      <c r="G2">
        <v>351289.57559999998</v>
      </c>
      <c r="H2">
        <v>445104666566.06702</v>
      </c>
      <c r="I2">
        <v>498414364944.961</v>
      </c>
      <c r="J2">
        <v>2.1580367322036526E-3</v>
      </c>
      <c r="K2">
        <v>40074.4928091814</v>
      </c>
      <c r="L2">
        <v>-4.0377505532801514E-3</v>
      </c>
      <c r="M2">
        <v>40236.959615129701</v>
      </c>
      <c r="N2">
        <v>2.8396634344589899</v>
      </c>
      <c r="O2">
        <v>160.38330142505899</v>
      </c>
      <c r="P2">
        <v>54.490328145263497</v>
      </c>
      <c r="Q2">
        <v>45.704833465615003</v>
      </c>
      <c r="R2">
        <v>11106932</v>
      </c>
      <c r="S2">
        <v>6.2209057511217348E-3</v>
      </c>
      <c r="T2">
        <v>31.297000000000001</v>
      </c>
      <c r="U2">
        <v>8.0500000000000007</v>
      </c>
      <c r="V2">
        <v>94.226607000000001</v>
      </c>
      <c r="W2">
        <v>1.1565030000000001</v>
      </c>
      <c r="X2">
        <v>80.763069999999999</v>
      </c>
      <c r="Y2">
        <v>80.72</v>
      </c>
      <c r="Z2">
        <v>69.749061584472699</v>
      </c>
      <c r="AA2">
        <v>2018</v>
      </c>
      <c r="AB2">
        <v>2019</v>
      </c>
      <c r="AC2">
        <v>0</v>
      </c>
      <c r="AD2">
        <v>0</v>
      </c>
      <c r="AE2">
        <v>1</v>
      </c>
      <c r="AF2">
        <v>1</v>
      </c>
      <c r="AJ2">
        <v>1.4488096237182619</v>
      </c>
      <c r="AK2">
        <v>1.222170352935791</v>
      </c>
      <c r="AL2">
        <v>7.358182499999999E-2</v>
      </c>
      <c r="AM2">
        <f>VLOOKUP(D2,[1]Sheet1!$C$1:$D$191,2,FALSE)</f>
        <v>1</v>
      </c>
    </row>
    <row r="3" spans="1:39" x14ac:dyDescent="0.35">
      <c r="A3">
        <v>2013</v>
      </c>
      <c r="B3" t="s">
        <v>5</v>
      </c>
      <c r="C3">
        <v>1</v>
      </c>
      <c r="D3" t="s">
        <v>210</v>
      </c>
      <c r="E3">
        <v>710614.35135000001</v>
      </c>
      <c r="F3">
        <v>398438.1</v>
      </c>
      <c r="G3">
        <v>1246873.5182669999</v>
      </c>
      <c r="H3">
        <v>446464436746.25</v>
      </c>
      <c r="I3">
        <v>524097026598.54999</v>
      </c>
      <c r="J3">
        <v>3.0549447856241525E-3</v>
      </c>
      <c r="K3">
        <v>40007.899769786098</v>
      </c>
      <c r="L3">
        <v>-1.6617313090496598E-3</v>
      </c>
      <c r="M3">
        <v>40074.4928091814</v>
      </c>
      <c r="N3">
        <v>1.1130959402753999</v>
      </c>
      <c r="O3">
        <v>157.573622782434</v>
      </c>
      <c r="P3">
        <v>56.159869726617998</v>
      </c>
      <c r="Q3">
        <v>45.341690143058003</v>
      </c>
      <c r="R3">
        <v>11159407</v>
      </c>
      <c r="S3">
        <v>4.7245269890911368E-3</v>
      </c>
      <c r="T3">
        <v>31.291</v>
      </c>
      <c r="U3">
        <v>8.0500000000000007</v>
      </c>
      <c r="V3">
        <v>93.953036999999995</v>
      </c>
      <c r="W3">
        <v>1.3427480000000001</v>
      </c>
      <c r="X3">
        <v>79.816879999999998</v>
      </c>
      <c r="Y3">
        <v>82.170199999999994</v>
      </c>
      <c r="Z3">
        <v>71.784111022949205</v>
      </c>
      <c r="AA3">
        <v>2018</v>
      </c>
      <c r="AB3">
        <v>2019</v>
      </c>
      <c r="AC3">
        <v>0</v>
      </c>
      <c r="AD3">
        <v>0</v>
      </c>
      <c r="AE3">
        <v>1</v>
      </c>
      <c r="AF3">
        <v>1</v>
      </c>
      <c r="AJ3">
        <v>1.4567661285400391</v>
      </c>
      <c r="AK3">
        <v>1.28374707698822</v>
      </c>
      <c r="AL3">
        <v>6.8151875000000001E-2</v>
      </c>
      <c r="AM3">
        <f>VLOOKUP(D3,[1]Sheet1!$C$1:$D$191,2,FALSE)</f>
        <v>1</v>
      </c>
    </row>
    <row r="4" spans="1:39" x14ac:dyDescent="0.35">
      <c r="A4">
        <v>2014</v>
      </c>
      <c r="B4" t="s">
        <v>5</v>
      </c>
      <c r="C4">
        <v>1</v>
      </c>
      <c r="D4" t="s">
        <v>210</v>
      </c>
      <c r="E4">
        <v>1062824</v>
      </c>
      <c r="F4">
        <v>1660662.5</v>
      </c>
      <c r="G4">
        <v>3060966.3332500001</v>
      </c>
      <c r="H4">
        <v>454346946668.41101</v>
      </c>
      <c r="I4">
        <v>537987419164.35101</v>
      </c>
      <c r="J4">
        <v>1.7655403820307124E-2</v>
      </c>
      <c r="K4">
        <v>40533.9134833922</v>
      </c>
      <c r="L4">
        <v>1.3147746235940803E-2</v>
      </c>
      <c r="M4">
        <v>40007.899769786098</v>
      </c>
      <c r="N4">
        <v>0.340002833356922</v>
      </c>
      <c r="O4">
        <v>158.57161095352299</v>
      </c>
      <c r="P4">
        <v>57.610623118479097</v>
      </c>
      <c r="Q4">
        <v>44.953912538649</v>
      </c>
      <c r="R4">
        <v>11209057</v>
      </c>
      <c r="S4">
        <v>4.4491611427022962E-3</v>
      </c>
      <c r="T4">
        <v>30.815000000000001</v>
      </c>
      <c r="U4">
        <v>7.93</v>
      </c>
      <c r="V4">
        <v>90.929478000000003</v>
      </c>
      <c r="W4">
        <v>1.3484240000000001</v>
      </c>
      <c r="X4">
        <v>88.863950000000003</v>
      </c>
      <c r="Y4">
        <v>85.001199999999997</v>
      </c>
      <c r="Z4">
        <v>74.039726257324205</v>
      </c>
      <c r="AA4">
        <v>2018</v>
      </c>
      <c r="AB4">
        <v>2019</v>
      </c>
      <c r="AC4">
        <v>0</v>
      </c>
      <c r="AD4">
        <v>0</v>
      </c>
      <c r="AE4">
        <v>1</v>
      </c>
      <c r="AF4">
        <v>1</v>
      </c>
      <c r="AJ4">
        <v>1.5485168695449829</v>
      </c>
      <c r="AK4">
        <v>1.1528851985931401</v>
      </c>
      <c r="AL4">
        <v>8.9840649999999994E-2</v>
      </c>
      <c r="AM4">
        <f>VLOOKUP(D4,[1]Sheet1!$C$1:$D$191,2,FALSE)</f>
        <v>1</v>
      </c>
    </row>
    <row r="5" spans="1:39" x14ac:dyDescent="0.35">
      <c r="A5">
        <v>2015</v>
      </c>
      <c r="B5" t="s">
        <v>5</v>
      </c>
      <c r="C5">
        <v>1</v>
      </c>
      <c r="D5" t="s">
        <v>210</v>
      </c>
      <c r="E5">
        <v>9124338.4300529845</v>
      </c>
      <c r="F5">
        <v>31655609.536999989</v>
      </c>
      <c r="G5">
        <v>40779947.967052966</v>
      </c>
      <c r="H5">
        <v>461044767544.53101</v>
      </c>
      <c r="I5">
        <v>461044767544.53101</v>
      </c>
      <c r="J5">
        <v>1.4741643858802384E-2</v>
      </c>
      <c r="K5">
        <v>40893.804537771997</v>
      </c>
      <c r="L5">
        <v>8.8787640632640649E-3</v>
      </c>
      <c r="M5">
        <v>40533.9134833922</v>
      </c>
      <c r="N5">
        <v>0.561429152790065</v>
      </c>
      <c r="O5">
        <v>155.06868204592601</v>
      </c>
      <c r="P5">
        <v>60.802622142860599</v>
      </c>
      <c r="Q5">
        <v>41.7110348512049</v>
      </c>
      <c r="R5">
        <v>11274196</v>
      </c>
      <c r="S5">
        <v>5.8112827867678792E-3</v>
      </c>
      <c r="T5">
        <v>29.623999999999999</v>
      </c>
      <c r="U5">
        <v>7.93</v>
      </c>
      <c r="V5">
        <v>90.017071999999999</v>
      </c>
      <c r="W5">
        <v>1.362625</v>
      </c>
      <c r="X5">
        <v>60.426439999999999</v>
      </c>
      <c r="Y5">
        <v>85.052899999999994</v>
      </c>
      <c r="Z5">
        <v>76.423942565917997</v>
      </c>
      <c r="AA5">
        <v>2018</v>
      </c>
      <c r="AB5">
        <v>2019</v>
      </c>
      <c r="AC5">
        <v>0</v>
      </c>
      <c r="AD5">
        <v>0</v>
      </c>
      <c r="AE5">
        <v>1</v>
      </c>
      <c r="AF5">
        <v>1</v>
      </c>
      <c r="AJ5">
        <v>1.456225633621216</v>
      </c>
      <c r="AK5">
        <v>1.2739608287811279</v>
      </c>
      <c r="AL5">
        <v>3.07446E-2</v>
      </c>
      <c r="AM5">
        <f>VLOOKUP(D5,[1]Sheet1!$C$1:$D$191,2,FALSE)</f>
        <v>1</v>
      </c>
    </row>
    <row r="6" spans="1:39" x14ac:dyDescent="0.35">
      <c r="A6">
        <v>2016</v>
      </c>
      <c r="B6" t="s">
        <v>5</v>
      </c>
      <c r="C6">
        <v>1</v>
      </c>
      <c r="D6" t="s">
        <v>210</v>
      </c>
      <c r="E6">
        <v>4092462.807013432</v>
      </c>
      <c r="F6">
        <v>58237135.0854</v>
      </c>
      <c r="G6">
        <v>62329597.89241343</v>
      </c>
      <c r="H6">
        <v>466547349016.53101</v>
      </c>
      <c r="I6">
        <v>474271566739.729</v>
      </c>
      <c r="J6">
        <v>1.1935026399510154E-2</v>
      </c>
      <c r="K6">
        <v>41172.8862464509</v>
      </c>
      <c r="L6">
        <v>6.8245474304335311E-3</v>
      </c>
      <c r="M6">
        <v>40893.804537771997</v>
      </c>
      <c r="N6">
        <v>1.97385264653181</v>
      </c>
      <c r="O6">
        <v>159.057696611945</v>
      </c>
      <c r="P6">
        <v>63.6160862759358</v>
      </c>
      <c r="Q6">
        <v>41.161643449403698</v>
      </c>
      <c r="R6">
        <v>11331422</v>
      </c>
      <c r="S6">
        <v>5.0758386673426647E-3</v>
      </c>
      <c r="T6">
        <v>29.082999999999998</v>
      </c>
      <c r="U6">
        <v>7.77</v>
      </c>
      <c r="V6">
        <v>88.342378999999994</v>
      </c>
      <c r="W6">
        <v>1.360657</v>
      </c>
      <c r="X6">
        <v>62.908499999999997</v>
      </c>
      <c r="Y6">
        <v>86.516499999999994</v>
      </c>
      <c r="Z6">
        <v>77.243507385253906</v>
      </c>
      <c r="AA6">
        <v>2018</v>
      </c>
      <c r="AB6">
        <v>2019</v>
      </c>
      <c r="AC6">
        <v>0</v>
      </c>
      <c r="AD6">
        <v>0</v>
      </c>
      <c r="AE6">
        <v>1</v>
      </c>
      <c r="AF6">
        <v>1</v>
      </c>
      <c r="AJ6">
        <v>1.393803477287292</v>
      </c>
      <c r="AK6">
        <v>1.32856822013855</v>
      </c>
      <c r="AL6">
        <v>4.7982799999999999E-2</v>
      </c>
      <c r="AM6">
        <f>VLOOKUP(D6,[1]Sheet1!$C$1:$D$191,2,FALSE)</f>
        <v>1</v>
      </c>
    </row>
    <row r="7" spans="1:39" x14ac:dyDescent="0.35">
      <c r="A7">
        <v>2017</v>
      </c>
      <c r="B7" t="s">
        <v>5</v>
      </c>
      <c r="C7">
        <v>1</v>
      </c>
      <c r="D7" t="s">
        <v>210</v>
      </c>
      <c r="E7">
        <v>2178204.9797815778</v>
      </c>
      <c r="F7">
        <v>99650648.549999997</v>
      </c>
      <c r="G7">
        <v>102704518.27978158</v>
      </c>
      <c r="H7">
        <v>473426438780.18298</v>
      </c>
      <c r="I7">
        <v>500908767351.53003</v>
      </c>
      <c r="J7">
        <v>1.4744676565310916E-2</v>
      </c>
      <c r="K7">
        <v>41619.3286089022</v>
      </c>
      <c r="L7">
        <v>1.0843115534310725E-2</v>
      </c>
      <c r="M7">
        <v>41172.8862464509</v>
      </c>
      <c r="N7">
        <v>2.1259708600260701</v>
      </c>
      <c r="O7">
        <v>166.904078237791</v>
      </c>
      <c r="P7">
        <v>65.337234036795095</v>
      </c>
      <c r="Q7">
        <v>40.103566202804103</v>
      </c>
      <c r="R7">
        <v>11375158</v>
      </c>
      <c r="S7">
        <v>3.8597097522270374E-3</v>
      </c>
      <c r="T7">
        <v>30.448</v>
      </c>
      <c r="U7">
        <v>7.78</v>
      </c>
      <c r="V7">
        <v>87.451490000000007</v>
      </c>
      <c r="W7">
        <v>1.4213960000000001</v>
      </c>
      <c r="X7">
        <v>62.889960000000002</v>
      </c>
      <c r="Y7">
        <v>87.679699999999997</v>
      </c>
      <c r="Z7">
        <v>80.773818969726605</v>
      </c>
      <c r="AA7">
        <v>2018</v>
      </c>
      <c r="AB7">
        <v>2019</v>
      </c>
      <c r="AC7">
        <v>0</v>
      </c>
      <c r="AD7">
        <v>0</v>
      </c>
      <c r="AE7">
        <v>1</v>
      </c>
      <c r="AF7">
        <v>1</v>
      </c>
      <c r="AJ7">
        <v>1.320625901222229</v>
      </c>
      <c r="AK7">
        <v>1.233548641204834</v>
      </c>
      <c r="AL7">
        <v>2.9593675E-2</v>
      </c>
      <c r="AM7">
        <f>VLOOKUP(D7,[1]Sheet1!$C$1:$D$191,2,FALSE)</f>
        <v>1</v>
      </c>
    </row>
    <row r="8" spans="1:39" x14ac:dyDescent="0.35">
      <c r="A8">
        <v>2018</v>
      </c>
      <c r="B8" t="s">
        <v>5</v>
      </c>
      <c r="C8">
        <v>1</v>
      </c>
      <c r="D8" t="s">
        <v>210</v>
      </c>
      <c r="E8">
        <v>5505334.6345000006</v>
      </c>
      <c r="F8">
        <v>44468700.585199997</v>
      </c>
      <c r="G8">
        <v>49974035.219700001</v>
      </c>
      <c r="H8">
        <v>482317238512.93201</v>
      </c>
      <c r="I8">
        <v>542638913427.92102</v>
      </c>
      <c r="J8">
        <v>1.8779685721939832E-2</v>
      </c>
      <c r="K8">
        <v>42208.362585223796</v>
      </c>
      <c r="L8">
        <v>1.4152894724870795E-2</v>
      </c>
      <c r="M8">
        <v>41619.3286089022</v>
      </c>
      <c r="N8">
        <v>2.0531649986518601</v>
      </c>
      <c r="O8">
        <v>168.27769287721799</v>
      </c>
      <c r="P8">
        <v>68.168572322727002</v>
      </c>
      <c r="Q8">
        <v>39.941626814667899</v>
      </c>
      <c r="R8">
        <v>11427054</v>
      </c>
      <c r="S8">
        <v>4.5622223445160055E-3</v>
      </c>
      <c r="T8">
        <v>28.385000000000002</v>
      </c>
      <c r="U8">
        <v>7.78</v>
      </c>
      <c r="V8">
        <v>80.965406000000002</v>
      </c>
      <c r="W8">
        <v>1.3564959999999999</v>
      </c>
      <c r="X8">
        <v>62.876449999999998</v>
      </c>
      <c r="Y8">
        <v>88.647300000000001</v>
      </c>
      <c r="Z8">
        <v>79.123748779296903</v>
      </c>
      <c r="AA8">
        <v>2018</v>
      </c>
      <c r="AB8">
        <v>2019</v>
      </c>
      <c r="AC8">
        <v>1</v>
      </c>
      <c r="AD8">
        <v>0</v>
      </c>
      <c r="AE8">
        <v>1</v>
      </c>
      <c r="AF8">
        <v>1</v>
      </c>
      <c r="AG8">
        <v>0</v>
      </c>
      <c r="AJ8">
        <v>1.338592529296875</v>
      </c>
      <c r="AK8">
        <v>1.2590394020080571</v>
      </c>
      <c r="AL8">
        <v>2.6015224999999999E-2</v>
      </c>
      <c r="AM8">
        <f>VLOOKUP(D8,[1]Sheet1!$C$1:$D$191,2,FALSE)</f>
        <v>1</v>
      </c>
    </row>
    <row r="9" spans="1:39" x14ac:dyDescent="0.35">
      <c r="A9">
        <v>2019</v>
      </c>
      <c r="B9" t="s">
        <v>5</v>
      </c>
      <c r="C9">
        <v>1</v>
      </c>
      <c r="D9" t="s">
        <v>210</v>
      </c>
      <c r="E9">
        <v>3260829.24632368</v>
      </c>
      <c r="F9">
        <v>71192402.729234993</v>
      </c>
      <c r="G9">
        <v>74453231.975558683</v>
      </c>
      <c r="H9">
        <v>494099718421.51398</v>
      </c>
      <c r="I9">
        <v>536726344405.48901</v>
      </c>
      <c r="J9">
        <v>2.4428900664859931E-2</v>
      </c>
      <c r="K9">
        <v>43006.404260562202</v>
      </c>
      <c r="L9">
        <v>1.8907193419954692E-2</v>
      </c>
      <c r="M9">
        <v>42208.362585223796</v>
      </c>
      <c r="N9">
        <v>1.4368195699642901</v>
      </c>
      <c r="O9">
        <v>165.46547893198999</v>
      </c>
      <c r="P9">
        <v>69.360003620854002</v>
      </c>
      <c r="Q9">
        <v>39.402504855093902</v>
      </c>
      <c r="R9">
        <v>11488980</v>
      </c>
      <c r="S9">
        <v>5.4192445401938238E-3</v>
      </c>
      <c r="T9">
        <v>29.172000000000001</v>
      </c>
      <c r="U9">
        <v>7.64</v>
      </c>
      <c r="V9">
        <v>75.190211000000005</v>
      </c>
      <c r="W9">
        <v>1.302975</v>
      </c>
      <c r="X9">
        <v>62.3217</v>
      </c>
      <c r="Y9">
        <v>90.275400000000005</v>
      </c>
      <c r="Z9">
        <v>79.304481506347699</v>
      </c>
      <c r="AA9">
        <v>2018</v>
      </c>
      <c r="AB9">
        <v>2019</v>
      </c>
      <c r="AC9">
        <v>1</v>
      </c>
      <c r="AD9">
        <v>1</v>
      </c>
      <c r="AE9">
        <v>1</v>
      </c>
      <c r="AF9">
        <v>1</v>
      </c>
      <c r="AG9">
        <v>1</v>
      </c>
      <c r="AH9">
        <v>0</v>
      </c>
      <c r="AJ9">
        <v>1.3361576795578001</v>
      </c>
      <c r="AK9">
        <v>1.276537299156189</v>
      </c>
      <c r="AL9">
        <v>7.3054950000000007E-2</v>
      </c>
      <c r="AM9">
        <f>VLOOKUP(D9,[1]Sheet1!$C$1:$D$191,2,FALSE)</f>
        <v>1</v>
      </c>
    </row>
    <row r="10" spans="1:39" x14ac:dyDescent="0.35">
      <c r="A10">
        <v>2020</v>
      </c>
      <c r="B10" t="s">
        <v>5</v>
      </c>
      <c r="C10">
        <v>1</v>
      </c>
      <c r="D10" t="s">
        <v>210</v>
      </c>
      <c r="E10">
        <v>14513844.90099372</v>
      </c>
      <c r="F10">
        <v>61265225.316931494</v>
      </c>
      <c r="G10">
        <v>75779070.217925221</v>
      </c>
      <c r="H10">
        <v>470417598481.151</v>
      </c>
      <c r="I10">
        <v>529694473501.79102</v>
      </c>
      <c r="J10">
        <v>-4.7929838972625927E-2</v>
      </c>
      <c r="K10">
        <v>40769.0218401768</v>
      </c>
      <c r="L10">
        <v>-5.2024400989903956E-2</v>
      </c>
      <c r="M10">
        <v>43006.404260562202</v>
      </c>
      <c r="N10">
        <v>0.74079181222034396</v>
      </c>
      <c r="O10">
        <v>156.95012128278299</v>
      </c>
      <c r="P10">
        <v>76.125350915761004</v>
      </c>
      <c r="Q10">
        <v>43.656605302545003</v>
      </c>
      <c r="R10">
        <v>11538604</v>
      </c>
      <c r="S10">
        <v>4.3192694216544897E-3</v>
      </c>
      <c r="T10">
        <v>26.914000000000001</v>
      </c>
      <c r="U10">
        <v>7.51</v>
      </c>
      <c r="V10">
        <v>67.165751</v>
      </c>
      <c r="W10">
        <v>1.2452570000000001</v>
      </c>
      <c r="X10">
        <v>64.302930000000003</v>
      </c>
      <c r="Y10">
        <v>91.526399999999995</v>
      </c>
      <c r="Z10">
        <v>79.499603271484403</v>
      </c>
      <c r="AA10">
        <v>2018</v>
      </c>
      <c r="AB10">
        <v>2019</v>
      </c>
      <c r="AC10">
        <v>1</v>
      </c>
      <c r="AD10">
        <v>1</v>
      </c>
      <c r="AE10">
        <v>1</v>
      </c>
      <c r="AF10">
        <v>1</v>
      </c>
      <c r="AG10">
        <v>2</v>
      </c>
      <c r="AH10">
        <v>1</v>
      </c>
      <c r="AJ10">
        <v>1.327594041824341</v>
      </c>
      <c r="AK10">
        <v>1.3436357975006099</v>
      </c>
      <c r="AL10">
        <v>0.123905375</v>
      </c>
      <c r="AM10">
        <f>VLOOKUP(D10,[1]Sheet1!$C$1:$D$191,2,FALSE)</f>
        <v>1</v>
      </c>
    </row>
    <row r="11" spans="1:39" x14ac:dyDescent="0.35">
      <c r="A11">
        <v>2012</v>
      </c>
      <c r="B11" t="s">
        <v>6</v>
      </c>
      <c r="C11">
        <v>2</v>
      </c>
      <c r="D11" t="s">
        <v>214</v>
      </c>
      <c r="E11">
        <v>115679.965845</v>
      </c>
      <c r="G11">
        <v>115679.965845</v>
      </c>
      <c r="H11">
        <v>287802068095.36401</v>
      </c>
      <c r="I11">
        <v>326792574244.96301</v>
      </c>
      <c r="J11">
        <v>-5.4323186931594744E-5</v>
      </c>
      <c r="K11">
        <v>51470.689833800498</v>
      </c>
      <c r="L11">
        <v>-3.8097714245790173E-3</v>
      </c>
      <c r="M11">
        <v>51667.531318195099</v>
      </c>
      <c r="N11">
        <v>2.3979148566464001</v>
      </c>
      <c r="O11">
        <v>104.362280505171</v>
      </c>
      <c r="P11">
        <v>182.29482500660799</v>
      </c>
      <c r="Q11">
        <v>43.571157823747697</v>
      </c>
      <c r="R11">
        <v>5591572</v>
      </c>
      <c r="S11">
        <v>3.7698103534071544E-3</v>
      </c>
      <c r="T11">
        <v>44.768999999999998</v>
      </c>
      <c r="U11">
        <v>9.52</v>
      </c>
      <c r="V11">
        <v>58.708364000000003</v>
      </c>
      <c r="W11">
        <v>1.095361</v>
      </c>
      <c r="X11">
        <v>81.558629999999994</v>
      </c>
      <c r="Y11">
        <v>92.26</v>
      </c>
      <c r="Z11">
        <v>77.746551513671903</v>
      </c>
      <c r="AA11">
        <v>2018</v>
      </c>
      <c r="AB11">
        <v>2019</v>
      </c>
      <c r="AC11">
        <v>0</v>
      </c>
      <c r="AD11">
        <v>0</v>
      </c>
      <c r="AE11">
        <v>1</v>
      </c>
      <c r="AF11">
        <v>1</v>
      </c>
      <c r="AJ11">
        <v>1.875066876411438</v>
      </c>
      <c r="AK11">
        <v>1.799161314964294</v>
      </c>
      <c r="AL11">
        <v>5.4202250000000007E-2</v>
      </c>
      <c r="AM11">
        <f>VLOOKUP(D11,[1]Sheet1!$C$1:$D$191,2,FALSE)</f>
        <v>2</v>
      </c>
    </row>
    <row r="12" spans="1:39" x14ac:dyDescent="0.35">
      <c r="A12">
        <v>2013</v>
      </c>
      <c r="B12" t="s">
        <v>6</v>
      </c>
      <c r="C12">
        <v>2</v>
      </c>
      <c r="D12" t="s">
        <v>214</v>
      </c>
      <c r="E12">
        <v>411030.07208700001</v>
      </c>
      <c r="G12">
        <v>411030.07208700001</v>
      </c>
      <c r="H12">
        <v>291810211144.33698</v>
      </c>
      <c r="I12">
        <v>344631016965.12</v>
      </c>
      <c r="J12">
        <v>1.3926734701728593E-2</v>
      </c>
      <c r="K12">
        <v>51970.390940502402</v>
      </c>
      <c r="L12">
        <v>9.7084594808316323E-3</v>
      </c>
      <c r="M12">
        <v>51470.689833800498</v>
      </c>
      <c r="N12">
        <v>0.789071780078062</v>
      </c>
      <c r="O12">
        <v>103.612813249189</v>
      </c>
      <c r="P12">
        <v>176.47778714251001</v>
      </c>
      <c r="Q12">
        <v>41.2879982289815</v>
      </c>
      <c r="R12">
        <v>5614932</v>
      </c>
      <c r="S12">
        <v>4.1777160340598311E-3</v>
      </c>
      <c r="T12">
        <v>43.195</v>
      </c>
      <c r="U12">
        <v>9.3800000000000008</v>
      </c>
      <c r="V12">
        <v>56.132128000000002</v>
      </c>
      <c r="W12">
        <v>1.065828</v>
      </c>
      <c r="X12">
        <v>81.282550000000001</v>
      </c>
      <c r="Y12">
        <v>94.6297</v>
      </c>
      <c r="Z12">
        <v>80.418678283691406</v>
      </c>
      <c r="AA12">
        <v>2018</v>
      </c>
      <c r="AB12">
        <v>2019</v>
      </c>
      <c r="AC12">
        <v>0</v>
      </c>
      <c r="AD12">
        <v>0</v>
      </c>
      <c r="AE12">
        <v>1</v>
      </c>
      <c r="AF12">
        <v>1</v>
      </c>
      <c r="AJ12">
        <v>1.9022853374481199</v>
      </c>
      <c r="AK12">
        <v>1.8002873659133909</v>
      </c>
      <c r="AL12">
        <v>6.4318075000000002E-2</v>
      </c>
      <c r="AM12">
        <f>VLOOKUP(D12,[1]Sheet1!$C$1:$D$191,2,FALSE)</f>
        <v>2</v>
      </c>
    </row>
    <row r="13" spans="1:39" x14ac:dyDescent="0.35">
      <c r="A13">
        <v>2014</v>
      </c>
      <c r="B13" t="s">
        <v>6</v>
      </c>
      <c r="C13">
        <v>2</v>
      </c>
      <c r="D13" t="s">
        <v>214</v>
      </c>
      <c r="E13">
        <v>664265</v>
      </c>
      <c r="G13">
        <v>664265</v>
      </c>
      <c r="H13">
        <v>295539545041.06799</v>
      </c>
      <c r="I13">
        <v>352832602064.45203</v>
      </c>
      <c r="J13">
        <v>1.2779997938065271E-2</v>
      </c>
      <c r="K13">
        <v>52368.362585298499</v>
      </c>
      <c r="L13">
        <v>7.6576611719490206E-3</v>
      </c>
      <c r="M13">
        <v>51970.390940502402</v>
      </c>
      <c r="N13">
        <v>0.56402054044953998</v>
      </c>
      <c r="O13">
        <v>103.210859225139</v>
      </c>
      <c r="P13">
        <v>173.406264223471</v>
      </c>
      <c r="Q13">
        <v>40.929448732959997</v>
      </c>
      <c r="R13">
        <v>5643475</v>
      </c>
      <c r="S13">
        <v>5.0834097367519326E-3</v>
      </c>
      <c r="T13">
        <v>43.244999999999997</v>
      </c>
      <c r="U13">
        <v>9.11</v>
      </c>
      <c r="V13">
        <v>53.991194</v>
      </c>
      <c r="W13">
        <v>0.96502969999999999</v>
      </c>
      <c r="X13">
        <v>81.007000000000005</v>
      </c>
      <c r="Y13">
        <v>95.993499999999997</v>
      </c>
      <c r="Z13">
        <v>81.314361572265597</v>
      </c>
      <c r="AA13">
        <v>2018</v>
      </c>
      <c r="AB13">
        <v>2019</v>
      </c>
      <c r="AC13">
        <v>0</v>
      </c>
      <c r="AD13">
        <v>0</v>
      </c>
      <c r="AE13">
        <v>1</v>
      </c>
      <c r="AF13">
        <v>1</v>
      </c>
      <c r="AJ13">
        <v>2.1007382869720459</v>
      </c>
      <c r="AK13">
        <v>1.681104421615601</v>
      </c>
      <c r="AL13">
        <v>3.0359575E-2</v>
      </c>
      <c r="AM13">
        <f>VLOOKUP(D13,[1]Sheet1!$C$1:$D$191,2,FALSE)</f>
        <v>2</v>
      </c>
    </row>
    <row r="14" spans="1:39" x14ac:dyDescent="0.35">
      <c r="A14">
        <v>2015</v>
      </c>
      <c r="B14" t="s">
        <v>6</v>
      </c>
      <c r="C14">
        <v>2</v>
      </c>
      <c r="D14" t="s">
        <v>214</v>
      </c>
      <c r="E14">
        <v>5375638.0117109884</v>
      </c>
      <c r="F14">
        <v>21786024.994230989</v>
      </c>
      <c r="G14">
        <v>27161663.00594198</v>
      </c>
      <c r="H14">
        <v>301758922337.63702</v>
      </c>
      <c r="I14">
        <v>301758922337.63702</v>
      </c>
      <c r="J14">
        <v>2.1044145871256553E-2</v>
      </c>
      <c r="K14">
        <v>53094.013360757403</v>
      </c>
      <c r="L14">
        <v>1.3856663444020256E-2</v>
      </c>
      <c r="M14">
        <v>52368.362585298499</v>
      </c>
      <c r="N14">
        <v>0.45203415369157501</v>
      </c>
      <c r="O14">
        <v>105.130362453899</v>
      </c>
      <c r="P14">
        <v>170.48260841068401</v>
      </c>
      <c r="Q14">
        <v>40.566722513957401</v>
      </c>
      <c r="R14">
        <v>5683483</v>
      </c>
      <c r="S14">
        <v>7.0892490885491651E-3</v>
      </c>
      <c r="T14">
        <v>42.543999999999997</v>
      </c>
      <c r="U14">
        <v>9.11</v>
      </c>
      <c r="V14">
        <v>51.817473</v>
      </c>
      <c r="W14">
        <v>1.0542860000000001</v>
      </c>
      <c r="X14">
        <v>83.991590000000002</v>
      </c>
      <c r="Y14">
        <v>96.330500000000001</v>
      </c>
      <c r="Z14">
        <v>83.300407409667997</v>
      </c>
      <c r="AA14">
        <v>2018</v>
      </c>
      <c r="AB14">
        <v>2019</v>
      </c>
      <c r="AC14">
        <v>0</v>
      </c>
      <c r="AD14">
        <v>0</v>
      </c>
      <c r="AE14">
        <v>1</v>
      </c>
      <c r="AF14">
        <v>1</v>
      </c>
      <c r="AJ14">
        <v>2.0151348114013672</v>
      </c>
      <c r="AK14">
        <v>1.72294008731842</v>
      </c>
      <c r="AL14">
        <v>0.106371625</v>
      </c>
      <c r="AM14">
        <f>VLOOKUP(D14,[1]Sheet1!$C$1:$D$191,2,FALSE)</f>
        <v>2</v>
      </c>
    </row>
    <row r="15" spans="1:39" x14ac:dyDescent="0.35">
      <c r="A15">
        <v>2016</v>
      </c>
      <c r="B15" t="s">
        <v>6</v>
      </c>
      <c r="C15">
        <v>2</v>
      </c>
      <c r="D15" t="s">
        <v>214</v>
      </c>
      <c r="E15">
        <v>7763859.414468538</v>
      </c>
      <c r="F15">
        <v>89626302.291209996</v>
      </c>
      <c r="G15">
        <v>97390161.705678537</v>
      </c>
      <c r="H15">
        <v>311032111245.33502</v>
      </c>
      <c r="I15">
        <v>312181849372.23297</v>
      </c>
      <c r="J15">
        <v>3.0730454747986736E-2</v>
      </c>
      <c r="K15">
        <v>54300.203953089302</v>
      </c>
      <c r="L15">
        <v>2.2718015007383355E-2</v>
      </c>
      <c r="M15">
        <v>53094.013360757403</v>
      </c>
      <c r="N15">
        <v>0.25000000000003098</v>
      </c>
      <c r="O15">
        <v>101.45278380864301</v>
      </c>
      <c r="P15">
        <v>167.05934628262699</v>
      </c>
      <c r="Q15">
        <v>38.4984631042731</v>
      </c>
      <c r="R15">
        <v>5728010</v>
      </c>
      <c r="S15">
        <v>7.8344564415869632E-3</v>
      </c>
      <c r="T15">
        <v>43.56</v>
      </c>
      <c r="U15">
        <v>9.1999999999999993</v>
      </c>
      <c r="V15">
        <v>49.651299999999999</v>
      </c>
      <c r="W15">
        <v>0.97088039999999998</v>
      </c>
      <c r="X15">
        <v>85.99427</v>
      </c>
      <c r="Y15">
        <v>96.967799999999997</v>
      </c>
      <c r="Z15">
        <v>82.171493530273395</v>
      </c>
      <c r="AA15">
        <v>2018</v>
      </c>
      <c r="AB15">
        <v>2019</v>
      </c>
      <c r="AC15">
        <v>0</v>
      </c>
      <c r="AD15">
        <v>0</v>
      </c>
      <c r="AE15">
        <v>1</v>
      </c>
      <c r="AF15">
        <v>1</v>
      </c>
      <c r="AJ15">
        <v>1.8829472064971919</v>
      </c>
      <c r="AK15">
        <v>1.5636423826217649</v>
      </c>
      <c r="AL15">
        <v>0.14322367499999999</v>
      </c>
      <c r="AM15">
        <f>VLOOKUP(D15,[1]Sheet1!$C$1:$D$191,2,FALSE)</f>
        <v>2</v>
      </c>
    </row>
    <row r="16" spans="1:39" x14ac:dyDescent="0.35">
      <c r="A16">
        <v>2017</v>
      </c>
      <c r="B16" t="s">
        <v>6</v>
      </c>
      <c r="C16">
        <v>2</v>
      </c>
      <c r="D16" t="s">
        <v>214</v>
      </c>
      <c r="E16">
        <v>4155527.6788017079</v>
      </c>
      <c r="F16">
        <v>44960493.027132273</v>
      </c>
      <c r="G16">
        <v>49116020.705933981</v>
      </c>
      <c r="H16">
        <v>320538736946.88</v>
      </c>
      <c r="I16">
        <v>331610593961.98798</v>
      </c>
      <c r="J16">
        <v>3.0564772439352326E-2</v>
      </c>
      <c r="K16">
        <v>55601.014564990597</v>
      </c>
      <c r="L16">
        <v>2.3955906556540448E-2</v>
      </c>
      <c r="M16">
        <v>54300.203953089302</v>
      </c>
      <c r="N16">
        <v>1.1471321695760199</v>
      </c>
      <c r="O16">
        <v>104.21567692044199</v>
      </c>
      <c r="P16">
        <v>162.05608965345499</v>
      </c>
      <c r="Q16">
        <v>37.079143290564197</v>
      </c>
      <c r="R16">
        <v>5764980</v>
      </c>
      <c r="S16">
        <v>6.4542485086443637E-3</v>
      </c>
      <c r="T16">
        <v>43.241999999999997</v>
      </c>
      <c r="U16">
        <v>9.2200000000000006</v>
      </c>
      <c r="V16">
        <v>49.166670000000003</v>
      </c>
      <c r="W16">
        <v>1.116263</v>
      </c>
      <c r="X16">
        <v>84.006069999999994</v>
      </c>
      <c r="Y16">
        <v>97.099400000000003</v>
      </c>
      <c r="Z16">
        <v>81.322006225585895</v>
      </c>
      <c r="AA16">
        <v>2018</v>
      </c>
      <c r="AB16">
        <v>2019</v>
      </c>
      <c r="AC16">
        <v>0</v>
      </c>
      <c r="AD16">
        <v>0</v>
      </c>
      <c r="AE16">
        <v>1</v>
      </c>
      <c r="AF16">
        <v>1</v>
      </c>
      <c r="AJ16">
        <v>1.804268360137939</v>
      </c>
      <c r="AK16">
        <v>1.612157821655273</v>
      </c>
      <c r="AL16">
        <v>0.138325325</v>
      </c>
      <c r="AM16">
        <f>VLOOKUP(D16,[1]Sheet1!$C$1:$D$191,2,FALSE)</f>
        <v>2</v>
      </c>
    </row>
    <row r="17" spans="1:39" x14ac:dyDescent="0.35">
      <c r="A17">
        <v>2018</v>
      </c>
      <c r="B17" t="s">
        <v>6</v>
      </c>
      <c r="C17">
        <v>2</v>
      </c>
      <c r="D17" t="s">
        <v>214</v>
      </c>
      <c r="E17">
        <v>4159734.9883849998</v>
      </c>
      <c r="F17">
        <v>140585626.02869999</v>
      </c>
      <c r="G17">
        <v>144745361.01708502</v>
      </c>
      <c r="H17">
        <v>326500781458.76398</v>
      </c>
      <c r="I17">
        <v>355293374912.39301</v>
      </c>
      <c r="J17">
        <v>1.860007488852122E-2</v>
      </c>
      <c r="K17">
        <v>56355.073300905402</v>
      </c>
      <c r="L17">
        <v>1.3561960007643476E-2</v>
      </c>
      <c r="M17">
        <v>55601.014564990597</v>
      </c>
      <c r="N17">
        <v>0.81360946745563101</v>
      </c>
      <c r="O17">
        <v>108.813985501909</v>
      </c>
      <c r="P17">
        <v>161.96022377506199</v>
      </c>
      <c r="Q17">
        <v>36.962576082031603</v>
      </c>
      <c r="R17">
        <v>5793636</v>
      </c>
      <c r="S17">
        <v>4.9707024135382952E-3</v>
      </c>
      <c r="T17">
        <v>42.634999999999998</v>
      </c>
      <c r="U17">
        <v>9.2200000000000006</v>
      </c>
      <c r="V17">
        <v>46.817176000000003</v>
      </c>
      <c r="W17">
        <v>0.99947940000000002</v>
      </c>
      <c r="X17">
        <v>83.847489999999993</v>
      </c>
      <c r="Y17">
        <v>97.319199999999995</v>
      </c>
      <c r="Z17">
        <v>81.140548706054702</v>
      </c>
      <c r="AA17">
        <v>2018</v>
      </c>
      <c r="AB17">
        <v>2019</v>
      </c>
      <c r="AC17">
        <v>1</v>
      </c>
      <c r="AD17">
        <v>0</v>
      </c>
      <c r="AE17">
        <v>1</v>
      </c>
      <c r="AF17">
        <v>1</v>
      </c>
      <c r="AG17">
        <v>0</v>
      </c>
      <c r="AJ17">
        <v>1.773226141929626</v>
      </c>
      <c r="AK17">
        <v>1.6283941268920901</v>
      </c>
      <c r="AL17">
        <v>5.8483449999999992E-2</v>
      </c>
      <c r="AM17">
        <f>VLOOKUP(D17,[1]Sheet1!$C$1:$D$191,2,FALSE)</f>
        <v>2</v>
      </c>
    </row>
    <row r="18" spans="1:39" x14ac:dyDescent="0.35">
      <c r="A18">
        <v>2019</v>
      </c>
      <c r="B18" t="s">
        <v>6</v>
      </c>
      <c r="C18">
        <v>2</v>
      </c>
      <c r="D18" t="s">
        <v>214</v>
      </c>
      <c r="E18">
        <v>2249293.2438325202</v>
      </c>
      <c r="F18">
        <v>146932907.06413081</v>
      </c>
      <c r="G18">
        <v>149182200.30796337</v>
      </c>
      <c r="H18">
        <v>332088518914.51001</v>
      </c>
      <c r="I18">
        <v>345401473012.61499</v>
      </c>
      <c r="J18">
        <v>1.7114009439060857E-2</v>
      </c>
      <c r="K18">
        <v>57114.622728537703</v>
      </c>
      <c r="L18">
        <v>1.3477924579686381E-2</v>
      </c>
      <c r="M18">
        <v>56355.073300905402</v>
      </c>
      <c r="N18">
        <v>0.75813157251162</v>
      </c>
      <c r="O18">
        <v>111.891475065653</v>
      </c>
      <c r="P18">
        <v>161.89867891429199</v>
      </c>
      <c r="Q18">
        <v>36.067406176074201</v>
      </c>
      <c r="R18">
        <v>5814422</v>
      </c>
      <c r="S18">
        <v>3.5877297089427088E-3</v>
      </c>
      <c r="T18">
        <v>43.228999999999999</v>
      </c>
      <c r="U18">
        <v>9.2200000000000006</v>
      </c>
      <c r="V18">
        <v>44.807429999999997</v>
      </c>
      <c r="W18">
        <v>0.8863818</v>
      </c>
      <c r="X18">
        <v>83.538300000000007</v>
      </c>
      <c r="Y18">
        <v>98.046400000000006</v>
      </c>
      <c r="Z18">
        <v>81.694587707519503</v>
      </c>
      <c r="AA18">
        <v>2018</v>
      </c>
      <c r="AB18">
        <v>2019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0</v>
      </c>
      <c r="AI18">
        <v>1</v>
      </c>
      <c r="AJ18">
        <v>1.833377361297607</v>
      </c>
      <c r="AK18">
        <v>1.547632575035095</v>
      </c>
      <c r="AL18">
        <v>0.1028382</v>
      </c>
      <c r="AM18">
        <f>VLOOKUP(D18,[1]Sheet1!$C$1:$D$191,2,FALSE)</f>
        <v>2</v>
      </c>
    </row>
    <row r="19" spans="1:39" x14ac:dyDescent="0.35">
      <c r="A19">
        <v>2020</v>
      </c>
      <c r="B19" t="s">
        <v>6</v>
      </c>
      <c r="C19">
        <v>2</v>
      </c>
      <c r="D19" t="s">
        <v>214</v>
      </c>
      <c r="E19">
        <v>9263865.7672535498</v>
      </c>
      <c r="F19">
        <v>62242509.271467797</v>
      </c>
      <c r="G19">
        <v>71506375.038721353</v>
      </c>
      <c r="H19">
        <v>326176991303.13</v>
      </c>
      <c r="I19">
        <v>355631021931.62097</v>
      </c>
      <c r="J19">
        <v>-1.7801059882175022E-2</v>
      </c>
      <c r="K19">
        <v>55934.555606699403</v>
      </c>
      <c r="L19">
        <v>-2.0661383468242207E-2</v>
      </c>
      <c r="M19">
        <v>57114.622728537703</v>
      </c>
      <c r="N19">
        <v>0.42071197411011502</v>
      </c>
      <c r="O19">
        <v>104.433432671151</v>
      </c>
      <c r="P19">
        <v>163.53675512979001</v>
      </c>
      <c r="Q19">
        <v>39.568041649914001</v>
      </c>
      <c r="R19">
        <v>5831404</v>
      </c>
      <c r="S19">
        <v>2.9206686408382466E-3</v>
      </c>
      <c r="T19">
        <v>43</v>
      </c>
      <c r="U19">
        <v>9.15</v>
      </c>
      <c r="V19">
        <v>42.564959000000002</v>
      </c>
      <c r="W19">
        <v>0.93657900000000005</v>
      </c>
      <c r="X19">
        <v>84.083640000000003</v>
      </c>
      <c r="Y19">
        <v>96.549099999999996</v>
      </c>
      <c r="Z19">
        <v>82.664329528808594</v>
      </c>
      <c r="AA19">
        <v>2018</v>
      </c>
      <c r="AB19">
        <v>2019</v>
      </c>
      <c r="AC19">
        <v>1</v>
      </c>
      <c r="AD19">
        <v>1</v>
      </c>
      <c r="AE19">
        <v>1</v>
      </c>
      <c r="AF19">
        <v>1</v>
      </c>
      <c r="AG19">
        <v>2</v>
      </c>
      <c r="AH19">
        <v>1</v>
      </c>
      <c r="AI19">
        <v>1</v>
      </c>
      <c r="AJ19">
        <v>1.806793689727783</v>
      </c>
      <c r="AK19">
        <v>1.785724520683289</v>
      </c>
      <c r="AL19">
        <v>0.1143405</v>
      </c>
      <c r="AM19">
        <f>VLOOKUP(D19,[1]Sheet1!$C$1:$D$191,2,FALSE)</f>
        <v>2</v>
      </c>
    </row>
    <row r="20" spans="1:39" x14ac:dyDescent="0.35">
      <c r="A20">
        <v>2012</v>
      </c>
      <c r="B20" t="s">
        <v>7</v>
      </c>
      <c r="C20">
        <v>3</v>
      </c>
      <c r="D20" t="s">
        <v>211</v>
      </c>
      <c r="F20">
        <v>873479.21522999997</v>
      </c>
      <c r="G20">
        <v>873479.21522999997</v>
      </c>
      <c r="H20">
        <v>21772480719.151199</v>
      </c>
      <c r="I20">
        <v>23237406116.3988</v>
      </c>
      <c r="J20">
        <v>3.6720211593118716E-2</v>
      </c>
      <c r="K20">
        <v>16460.683875320701</v>
      </c>
      <c r="L20">
        <v>4.043774303162255E-2</v>
      </c>
      <c r="M20">
        <v>15820.921516512501</v>
      </c>
      <c r="N20">
        <v>3.9333998729698498</v>
      </c>
      <c r="O20">
        <v>169.156067773865</v>
      </c>
      <c r="P20">
        <v>72.235962628380605</v>
      </c>
      <c r="Q20">
        <v>33.798026479221399</v>
      </c>
      <c r="R20">
        <v>1322696</v>
      </c>
      <c r="S20">
        <v>-3.5730455410757102E-3</v>
      </c>
      <c r="T20">
        <v>35.975999999999999</v>
      </c>
      <c r="U20">
        <v>7.61</v>
      </c>
      <c r="V20">
        <v>83.594453999999999</v>
      </c>
      <c r="W20">
        <v>2.5554030000000001</v>
      </c>
      <c r="X20">
        <v>97.283230000000003</v>
      </c>
      <c r="Y20">
        <v>78.389899999999997</v>
      </c>
      <c r="Z20">
        <v>72.936470031738295</v>
      </c>
      <c r="AA20">
        <v>2018</v>
      </c>
      <c r="AB20">
        <v>2019</v>
      </c>
      <c r="AC20">
        <v>0</v>
      </c>
      <c r="AD20">
        <v>0</v>
      </c>
      <c r="AE20">
        <v>1</v>
      </c>
      <c r="AF20">
        <v>1</v>
      </c>
      <c r="AJ20">
        <v>1.1509414911270139</v>
      </c>
      <c r="AK20">
        <v>1.410284042358398</v>
      </c>
      <c r="AM20">
        <f>VLOOKUP(D20,[1]Sheet1!$C$1:$D$191,2,FALSE)</f>
        <v>3</v>
      </c>
    </row>
    <row r="21" spans="1:39" x14ac:dyDescent="0.35">
      <c r="A21">
        <v>2013</v>
      </c>
      <c r="B21" t="s">
        <v>7</v>
      </c>
      <c r="C21">
        <v>3</v>
      </c>
      <c r="D21" t="s">
        <v>211</v>
      </c>
      <c r="F21">
        <v>10056192.48717</v>
      </c>
      <c r="G21">
        <v>10056192.48717</v>
      </c>
      <c r="H21">
        <v>22154913169.856201</v>
      </c>
      <c r="I21">
        <v>25451032780.757301</v>
      </c>
      <c r="J21">
        <v>1.7564946118822925E-2</v>
      </c>
      <c r="K21">
        <v>16809.532320525999</v>
      </c>
      <c r="L21">
        <v>2.1192828186702629E-2</v>
      </c>
      <c r="M21">
        <v>16460.683875320701</v>
      </c>
      <c r="N21">
        <v>2.7805665895498799</v>
      </c>
      <c r="O21">
        <v>164.601632156916</v>
      </c>
      <c r="P21">
        <v>68.568812847896098</v>
      </c>
      <c r="Q21">
        <v>33.7745759052845</v>
      </c>
      <c r="R21">
        <v>1317997</v>
      </c>
      <c r="S21">
        <v>-3.5525925836322179E-3</v>
      </c>
      <c r="T21">
        <v>36.661000000000001</v>
      </c>
      <c r="U21">
        <v>7.61</v>
      </c>
      <c r="V21">
        <v>79.571179999999998</v>
      </c>
      <c r="W21">
        <v>3.6673450000000001</v>
      </c>
      <c r="X21">
        <v>96.553920000000005</v>
      </c>
      <c r="Y21">
        <v>80.004300000000001</v>
      </c>
      <c r="Z21">
        <v>75.452316284179702</v>
      </c>
      <c r="AA21">
        <v>2018</v>
      </c>
      <c r="AB21">
        <v>2019</v>
      </c>
      <c r="AC21">
        <v>0</v>
      </c>
      <c r="AD21">
        <v>0</v>
      </c>
      <c r="AE21">
        <v>1</v>
      </c>
      <c r="AF21">
        <v>1</v>
      </c>
      <c r="AJ21">
        <v>1.1913702487945561</v>
      </c>
      <c r="AK21">
        <v>1.4392409324646001</v>
      </c>
      <c r="AM21">
        <f>VLOOKUP(D21,[1]Sheet1!$C$1:$D$191,2,FALSE)</f>
        <v>3</v>
      </c>
    </row>
    <row r="22" spans="1:39" x14ac:dyDescent="0.35">
      <c r="A22">
        <v>2014</v>
      </c>
      <c r="B22" t="s">
        <v>7</v>
      </c>
      <c r="C22">
        <v>3</v>
      </c>
      <c r="D22" t="s">
        <v>211</v>
      </c>
      <c r="F22">
        <v>29348655.869750001</v>
      </c>
      <c r="G22">
        <v>29348655.869750001</v>
      </c>
      <c r="H22">
        <v>22891073863.272999</v>
      </c>
      <c r="I22">
        <v>27055689003.003799</v>
      </c>
      <c r="J22">
        <v>3.3227875359873316E-2</v>
      </c>
      <c r="K22">
        <v>17413.686000306599</v>
      </c>
      <c r="L22">
        <v>3.5941135556928759E-2</v>
      </c>
      <c r="M22">
        <v>16809.532320525999</v>
      </c>
      <c r="N22">
        <v>-0.10617514652171001</v>
      </c>
      <c r="O22">
        <v>157.95394484222899</v>
      </c>
      <c r="P22">
        <v>66.224482681072701</v>
      </c>
      <c r="Q22">
        <v>33.358244646113697</v>
      </c>
      <c r="R22">
        <v>1314545</v>
      </c>
      <c r="S22">
        <v>-2.6191258401953876E-3</v>
      </c>
      <c r="T22">
        <v>40.418999999999997</v>
      </c>
      <c r="U22">
        <v>7.74</v>
      </c>
      <c r="V22">
        <v>76.709940000000003</v>
      </c>
      <c r="W22">
        <v>2.8066599999999999</v>
      </c>
      <c r="X22">
        <v>96.009469999999993</v>
      </c>
      <c r="Y22">
        <v>84.241500000000002</v>
      </c>
      <c r="Z22">
        <v>76.202453613281193</v>
      </c>
      <c r="AA22">
        <v>2018</v>
      </c>
      <c r="AB22">
        <v>2019</v>
      </c>
      <c r="AC22">
        <v>0</v>
      </c>
      <c r="AD22">
        <v>0</v>
      </c>
      <c r="AE22">
        <v>1</v>
      </c>
      <c r="AF22">
        <v>1</v>
      </c>
      <c r="AJ22">
        <v>1.369859576225281</v>
      </c>
      <c r="AK22">
        <v>1.67060923576355</v>
      </c>
      <c r="AM22">
        <f>VLOOKUP(D22,[1]Sheet1!$C$1:$D$191,2,FALSE)</f>
        <v>3</v>
      </c>
    </row>
    <row r="23" spans="1:39" x14ac:dyDescent="0.35">
      <c r="A23">
        <v>2015</v>
      </c>
      <c r="B23" t="s">
        <v>7</v>
      </c>
      <c r="C23">
        <v>3</v>
      </c>
      <c r="D23" t="s">
        <v>211</v>
      </c>
      <c r="E23">
        <v>3530793.2239199998</v>
      </c>
      <c r="F23">
        <v>31458581.479926892</v>
      </c>
      <c r="G23">
        <v>34989374.703846894</v>
      </c>
      <c r="H23">
        <v>23311847750.9394</v>
      </c>
      <c r="I23">
        <v>23311847750.9394</v>
      </c>
      <c r="J23">
        <v>1.8381570483746543E-2</v>
      </c>
      <c r="K23">
        <v>17722.155766952299</v>
      </c>
      <c r="L23">
        <v>1.7714214362213054E-2</v>
      </c>
      <c r="M23">
        <v>17413.686000306599</v>
      </c>
      <c r="N23">
        <v>-0.49232600654737002</v>
      </c>
      <c r="O23">
        <v>148.50715712355799</v>
      </c>
      <c r="P23">
        <v>67.722040266271506</v>
      </c>
      <c r="Q23">
        <v>35.501598338194697</v>
      </c>
      <c r="R23">
        <v>1315407</v>
      </c>
      <c r="S23">
        <v>6.5574019908029016E-4</v>
      </c>
      <c r="T23">
        <v>40.698999999999998</v>
      </c>
      <c r="U23">
        <v>7.85</v>
      </c>
      <c r="V23">
        <v>72.605249999999998</v>
      </c>
      <c r="W23">
        <v>2.473881</v>
      </c>
      <c r="X23">
        <v>92.235140000000001</v>
      </c>
      <c r="Y23">
        <v>88.409700000000001</v>
      </c>
      <c r="Z23">
        <v>74.583282470703097</v>
      </c>
      <c r="AA23">
        <v>2018</v>
      </c>
      <c r="AB23">
        <v>2019</v>
      </c>
      <c r="AC23">
        <v>0</v>
      </c>
      <c r="AD23">
        <v>0</v>
      </c>
      <c r="AE23">
        <v>1</v>
      </c>
      <c r="AF23">
        <v>1</v>
      </c>
      <c r="AJ23">
        <v>1.3005079030990601</v>
      </c>
      <c r="AK23">
        <v>1.658324718475342</v>
      </c>
      <c r="AM23">
        <f>VLOOKUP(D23,[1]Sheet1!$C$1:$D$191,2,FALSE)</f>
        <v>3</v>
      </c>
    </row>
    <row r="24" spans="1:39" x14ac:dyDescent="0.35">
      <c r="A24">
        <v>2016</v>
      </c>
      <c r="B24" t="s">
        <v>7</v>
      </c>
      <c r="C24">
        <v>3</v>
      </c>
      <c r="D24" t="s">
        <v>211</v>
      </c>
      <c r="E24">
        <v>7120508.9644600032</v>
      </c>
      <c r="F24">
        <v>84159647.264113069</v>
      </c>
      <c r="G24">
        <v>91280156.228573069</v>
      </c>
      <c r="H24">
        <v>24032886893.169899</v>
      </c>
      <c r="I24">
        <v>24561027787.7896</v>
      </c>
      <c r="J24">
        <v>3.0930158344116825E-2</v>
      </c>
      <c r="K24">
        <v>18264.986732814399</v>
      </c>
      <c r="L24">
        <v>3.0630075313656462E-2</v>
      </c>
      <c r="M24">
        <v>17722.155766952299</v>
      </c>
      <c r="N24">
        <v>0.14868490762737299</v>
      </c>
      <c r="O24">
        <v>147.7462327097</v>
      </c>
      <c r="P24">
        <v>68.412402763013802</v>
      </c>
      <c r="Q24">
        <v>35.572646738407201</v>
      </c>
      <c r="R24">
        <v>1315790</v>
      </c>
      <c r="S24">
        <v>2.9116463573631581E-4</v>
      </c>
      <c r="T24">
        <v>42.575000000000003</v>
      </c>
      <c r="U24">
        <v>7.85</v>
      </c>
      <c r="V24">
        <v>69.956430999999995</v>
      </c>
      <c r="W24">
        <v>1.6206149999999999</v>
      </c>
      <c r="X24">
        <v>89.574110000000005</v>
      </c>
      <c r="Y24">
        <v>87.240200000000002</v>
      </c>
      <c r="Z24">
        <v>73.033432006835895</v>
      </c>
      <c r="AA24">
        <v>2018</v>
      </c>
      <c r="AB24">
        <v>2019</v>
      </c>
      <c r="AC24">
        <v>0</v>
      </c>
      <c r="AD24">
        <v>0</v>
      </c>
      <c r="AE24">
        <v>1</v>
      </c>
      <c r="AF24">
        <v>1</v>
      </c>
      <c r="AJ24">
        <v>1.1925922632217409</v>
      </c>
      <c r="AK24">
        <v>1.687963724136353</v>
      </c>
      <c r="AM24">
        <f>VLOOKUP(D24,[1]Sheet1!$C$1:$D$191,2,FALSE)</f>
        <v>3</v>
      </c>
    </row>
    <row r="25" spans="1:39" x14ac:dyDescent="0.35">
      <c r="A25">
        <v>2017</v>
      </c>
      <c r="B25" t="s">
        <v>7</v>
      </c>
      <c r="C25">
        <v>3</v>
      </c>
      <c r="D25" t="s">
        <v>211</v>
      </c>
      <c r="E25">
        <v>8003406.3218733361</v>
      </c>
      <c r="F25">
        <v>83790700.814855337</v>
      </c>
      <c r="G25">
        <v>91794107.136728659</v>
      </c>
      <c r="H25">
        <v>25387061799.845299</v>
      </c>
      <c r="I25">
        <v>27469461919.1189</v>
      </c>
      <c r="J25">
        <v>5.6346743222939803E-2</v>
      </c>
      <c r="K25">
        <v>19270.813824856901</v>
      </c>
      <c r="L25">
        <v>5.5068591439787873E-2</v>
      </c>
      <c r="M25">
        <v>18264.986732814399</v>
      </c>
      <c r="N25">
        <v>3.4172354948805399</v>
      </c>
      <c r="O25">
        <v>144.635650944133</v>
      </c>
      <c r="P25">
        <v>62.859537741199603</v>
      </c>
      <c r="Q25">
        <v>34.356222717942799</v>
      </c>
      <c r="R25">
        <v>1317384</v>
      </c>
      <c r="S25">
        <v>1.2114395154241939E-3</v>
      </c>
      <c r="T25">
        <v>44.756999999999998</v>
      </c>
      <c r="U25">
        <v>7.79</v>
      </c>
      <c r="V25">
        <v>67.773329000000004</v>
      </c>
      <c r="W25">
        <v>2.5236830000000001</v>
      </c>
      <c r="X25">
        <v>90.703909999999993</v>
      </c>
      <c r="Y25">
        <v>88.102500000000006</v>
      </c>
      <c r="Z25">
        <v>72.136978149414105</v>
      </c>
      <c r="AA25">
        <v>2018</v>
      </c>
      <c r="AB25">
        <v>2019</v>
      </c>
      <c r="AC25">
        <v>0</v>
      </c>
      <c r="AD25">
        <v>0</v>
      </c>
      <c r="AE25">
        <v>1</v>
      </c>
      <c r="AF25">
        <v>1</v>
      </c>
      <c r="AJ25">
        <v>1.248477578163147</v>
      </c>
      <c r="AK25">
        <v>1.634040951728821</v>
      </c>
      <c r="AM25">
        <f>VLOOKUP(D25,[1]Sheet1!$C$1:$D$191,2,FALSE)</f>
        <v>3</v>
      </c>
    </row>
    <row r="26" spans="1:39" x14ac:dyDescent="0.35">
      <c r="A26">
        <v>2018</v>
      </c>
      <c r="B26" t="s">
        <v>7</v>
      </c>
      <c r="C26">
        <v>3</v>
      </c>
      <c r="D26" t="s">
        <v>211</v>
      </c>
      <c r="E26">
        <v>7592348.1496499982</v>
      </c>
      <c r="F26">
        <v>151933733.89840001</v>
      </c>
      <c r="G26">
        <v>159526082.04804996</v>
      </c>
      <c r="H26">
        <v>26326305513.736301</v>
      </c>
      <c r="I26">
        <v>31222632740.724701</v>
      </c>
      <c r="J26">
        <v>3.6996944400108804E-2</v>
      </c>
      <c r="K26">
        <v>19914.344586733601</v>
      </c>
      <c r="L26">
        <v>3.3394062530282306E-2</v>
      </c>
      <c r="M26">
        <v>19270.813824856901</v>
      </c>
      <c r="N26">
        <v>3.4363268842044601</v>
      </c>
      <c r="O26">
        <v>143.48522486473499</v>
      </c>
      <c r="P26">
        <v>60.763723410339303</v>
      </c>
      <c r="Q26">
        <v>34.9430178869641</v>
      </c>
      <c r="R26">
        <v>1321977</v>
      </c>
      <c r="S26">
        <v>3.4864549744038184E-3</v>
      </c>
      <c r="T26">
        <v>46.009</v>
      </c>
      <c r="U26">
        <v>7.97</v>
      </c>
      <c r="V26">
        <v>67.918317000000002</v>
      </c>
      <c r="W26">
        <v>3.14947</v>
      </c>
      <c r="X26">
        <v>95.777050000000003</v>
      </c>
      <c r="Y26">
        <v>89.356999999999999</v>
      </c>
      <c r="Z26">
        <v>72.065963745117202</v>
      </c>
      <c r="AA26">
        <v>2018</v>
      </c>
      <c r="AB26">
        <v>2019</v>
      </c>
      <c r="AC26">
        <v>1</v>
      </c>
      <c r="AD26">
        <v>0</v>
      </c>
      <c r="AE26">
        <v>1</v>
      </c>
      <c r="AF26">
        <v>1</v>
      </c>
      <c r="AG26">
        <v>0</v>
      </c>
      <c r="AJ26">
        <v>1.203457355499268</v>
      </c>
      <c r="AK26">
        <v>1.5448329448699949</v>
      </c>
      <c r="AM26">
        <f>VLOOKUP(D26,[1]Sheet1!$C$1:$D$191,2,FALSE)</f>
        <v>3</v>
      </c>
    </row>
    <row r="27" spans="1:39" x14ac:dyDescent="0.35">
      <c r="A27">
        <v>2019</v>
      </c>
      <c r="B27" t="s">
        <v>7</v>
      </c>
      <c r="C27">
        <v>3</v>
      </c>
      <c r="D27" t="s">
        <v>211</v>
      </c>
      <c r="E27">
        <v>27330335.053963918</v>
      </c>
      <c r="F27">
        <v>140045398.39106089</v>
      </c>
      <c r="G27">
        <v>167375733.44502479</v>
      </c>
      <c r="H27">
        <v>27307395615.810101</v>
      </c>
      <c r="I27">
        <v>31873748770.0313</v>
      </c>
      <c r="J27">
        <v>3.7266531817838809E-2</v>
      </c>
      <c r="K27">
        <v>20579.875480866001</v>
      </c>
      <c r="L27">
        <v>3.3419673503880157E-2</v>
      </c>
      <c r="M27">
        <v>19914.344586733601</v>
      </c>
      <c r="N27">
        <v>2.2772593124352198</v>
      </c>
      <c r="O27">
        <v>140.35214799854899</v>
      </c>
      <c r="P27">
        <v>58.239545199095701</v>
      </c>
      <c r="Q27">
        <v>35.246128810546701</v>
      </c>
      <c r="R27">
        <v>1326898</v>
      </c>
      <c r="S27">
        <v>3.7224550805346839E-3</v>
      </c>
      <c r="T27">
        <v>42.293999999999997</v>
      </c>
      <c r="U27">
        <v>7.9</v>
      </c>
      <c r="V27">
        <v>65.677475000000001</v>
      </c>
      <c r="W27">
        <v>2.4831880000000002</v>
      </c>
      <c r="X27">
        <v>94.632189999999994</v>
      </c>
      <c r="Y27">
        <v>90.228899999999996</v>
      </c>
      <c r="Z27">
        <v>72.706031799316406</v>
      </c>
      <c r="AA27">
        <v>2018</v>
      </c>
      <c r="AB27">
        <v>2019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0</v>
      </c>
      <c r="AJ27">
        <v>1.2427259683609011</v>
      </c>
      <c r="AK27">
        <v>1.580124616622925</v>
      </c>
      <c r="AM27">
        <f>VLOOKUP(D27,[1]Sheet1!$C$1:$D$191,2,FALSE)</f>
        <v>3</v>
      </c>
    </row>
    <row r="28" spans="1:39" x14ac:dyDescent="0.35">
      <c r="A28">
        <v>2020</v>
      </c>
      <c r="B28" t="s">
        <v>7</v>
      </c>
      <c r="C28">
        <v>3</v>
      </c>
      <c r="D28" t="s">
        <v>211</v>
      </c>
      <c r="E28">
        <v>12690543.029225251</v>
      </c>
      <c r="F28">
        <v>141252081.41806239</v>
      </c>
      <c r="G28">
        <v>153942624.44728771</v>
      </c>
      <c r="H28">
        <v>26519902198.995701</v>
      </c>
      <c r="I28">
        <v>31820771493.8974</v>
      </c>
      <c r="J28">
        <v>-2.8838100414030933E-2</v>
      </c>
      <c r="K28">
        <v>19946.944991504999</v>
      </c>
      <c r="L28">
        <v>-3.0754825992483054E-2</v>
      </c>
      <c r="M28">
        <v>20579.875480866001</v>
      </c>
      <c r="N28">
        <v>-0.44453109767983001</v>
      </c>
      <c r="O28">
        <v>137.39264128384599</v>
      </c>
      <c r="P28">
        <v>62.467495132413497</v>
      </c>
      <c r="Q28">
        <v>40.499238871458601</v>
      </c>
      <c r="R28">
        <v>1329522</v>
      </c>
      <c r="S28">
        <v>1.977544619104106E-3</v>
      </c>
      <c r="T28">
        <v>40.781999999999996</v>
      </c>
      <c r="U28">
        <v>7.84</v>
      </c>
      <c r="V28">
        <v>64.599890000000002</v>
      </c>
      <c r="W28">
        <v>2.5956939999999999</v>
      </c>
      <c r="X28">
        <v>94.310559999999995</v>
      </c>
      <c r="Y28">
        <v>89.058300000000003</v>
      </c>
      <c r="Z28">
        <v>72.044357299804702</v>
      </c>
      <c r="AA28">
        <v>2018</v>
      </c>
      <c r="AB28">
        <v>2019</v>
      </c>
      <c r="AC28">
        <v>1</v>
      </c>
      <c r="AD28">
        <v>1</v>
      </c>
      <c r="AE28">
        <v>1</v>
      </c>
      <c r="AF28">
        <v>1</v>
      </c>
      <c r="AG28">
        <v>2</v>
      </c>
      <c r="AH28">
        <v>1</v>
      </c>
      <c r="AJ28">
        <v>1.3350881338119509</v>
      </c>
      <c r="AK28">
        <v>1.5295348167419429</v>
      </c>
      <c r="AM28">
        <f>VLOOKUP(D28,[1]Sheet1!$C$1:$D$191,2,FALSE)</f>
        <v>3</v>
      </c>
    </row>
    <row r="29" spans="1:39" x14ac:dyDescent="0.35">
      <c r="A29">
        <v>2012</v>
      </c>
      <c r="B29" t="s">
        <v>8</v>
      </c>
      <c r="C29">
        <v>4</v>
      </c>
      <c r="D29" t="s">
        <v>212</v>
      </c>
      <c r="E29">
        <v>136298.29800000001</v>
      </c>
      <c r="F29">
        <v>7029777.594299987</v>
      </c>
      <c r="G29">
        <v>7166075.8922999864</v>
      </c>
      <c r="H29">
        <v>235550696192.578</v>
      </c>
      <c r="I29">
        <v>257443384492.96899</v>
      </c>
      <c r="J29">
        <v>-1.5228402849933716E-2</v>
      </c>
      <c r="K29">
        <v>43507.934599682601</v>
      </c>
      <c r="L29">
        <v>-1.9902909838455666E-2</v>
      </c>
      <c r="M29">
        <v>44391.453700277198</v>
      </c>
      <c r="N29">
        <v>2.80833622561574</v>
      </c>
      <c r="O29">
        <v>79.430376588248194</v>
      </c>
      <c r="P29">
        <v>92.075477347812594</v>
      </c>
      <c r="Q29">
        <v>39.025242292068</v>
      </c>
      <c r="R29">
        <v>5413971</v>
      </c>
      <c r="S29">
        <v>4.7694325750444666E-3</v>
      </c>
      <c r="T29">
        <v>30.562999999999999</v>
      </c>
      <c r="U29">
        <v>9.06</v>
      </c>
      <c r="V29">
        <v>35.729115</v>
      </c>
      <c r="W29">
        <v>0.53553799999999996</v>
      </c>
      <c r="X29">
        <v>94.096599999999995</v>
      </c>
      <c r="Y29">
        <v>89.88</v>
      </c>
      <c r="Z29">
        <v>91.553382873535199</v>
      </c>
      <c r="AA29">
        <v>2018</v>
      </c>
      <c r="AB29">
        <v>2019</v>
      </c>
      <c r="AC29">
        <v>0</v>
      </c>
      <c r="AD29">
        <v>0</v>
      </c>
      <c r="AE29">
        <v>1</v>
      </c>
      <c r="AF29">
        <v>1</v>
      </c>
      <c r="AJ29">
        <v>1.9440335035324099</v>
      </c>
      <c r="AK29">
        <v>1.8215891122817991</v>
      </c>
      <c r="AL29">
        <v>0.105212475</v>
      </c>
      <c r="AM29">
        <f>VLOOKUP(D29,[1]Sheet1!$C$1:$D$191,2,FALSE)</f>
        <v>4</v>
      </c>
    </row>
    <row r="30" spans="1:39" x14ac:dyDescent="0.35">
      <c r="A30">
        <v>2013</v>
      </c>
      <c r="B30" t="s">
        <v>8</v>
      </c>
      <c r="C30">
        <v>4</v>
      </c>
      <c r="D30" t="s">
        <v>212</v>
      </c>
      <c r="E30">
        <v>2324222.25</v>
      </c>
      <c r="F30">
        <v>19323318.1611</v>
      </c>
      <c r="G30">
        <v>21647540.4111</v>
      </c>
      <c r="H30">
        <v>233242909380.078</v>
      </c>
      <c r="I30">
        <v>270268036626.27499</v>
      </c>
      <c r="J30">
        <v>-9.7974102806863885E-3</v>
      </c>
      <c r="K30">
        <v>42883.638558918501</v>
      </c>
      <c r="L30">
        <v>-1.4349015794665064E-2</v>
      </c>
      <c r="M30">
        <v>43507.934599682601</v>
      </c>
      <c r="N30">
        <v>1.4782861568881001</v>
      </c>
      <c r="O30">
        <v>77.485171771574002</v>
      </c>
      <c r="P30">
        <v>93.313414939777999</v>
      </c>
      <c r="Q30">
        <v>40.252190449982102</v>
      </c>
      <c r="R30">
        <v>5438972</v>
      </c>
      <c r="S30">
        <v>4.6178673657468793E-3</v>
      </c>
      <c r="T30">
        <v>29.923999999999999</v>
      </c>
      <c r="U30">
        <v>9.0299999999999994</v>
      </c>
      <c r="V30">
        <v>36.349890000000002</v>
      </c>
      <c r="W30">
        <v>0.61972740000000004</v>
      </c>
      <c r="X30">
        <v>92.051860000000005</v>
      </c>
      <c r="Y30">
        <v>91.514399999999995</v>
      </c>
      <c r="Z30">
        <v>91.236526489257798</v>
      </c>
      <c r="AA30">
        <v>2018</v>
      </c>
      <c r="AB30">
        <v>2019</v>
      </c>
      <c r="AC30">
        <v>0</v>
      </c>
      <c r="AD30">
        <v>0</v>
      </c>
      <c r="AE30">
        <v>1</v>
      </c>
      <c r="AF30">
        <v>1</v>
      </c>
      <c r="AJ30">
        <v>1.955682635307312</v>
      </c>
      <c r="AK30">
        <v>1.8416721820831301</v>
      </c>
      <c r="AL30">
        <v>4.8078299999999997E-2</v>
      </c>
      <c r="AM30">
        <f>VLOOKUP(D30,[1]Sheet1!$C$1:$D$191,2,FALSE)</f>
        <v>4</v>
      </c>
    </row>
    <row r="31" spans="1:39" x14ac:dyDescent="0.35">
      <c r="A31">
        <v>2014</v>
      </c>
      <c r="B31" t="s">
        <v>8</v>
      </c>
      <c r="C31">
        <v>4</v>
      </c>
      <c r="D31" t="s">
        <v>212</v>
      </c>
      <c r="E31">
        <v>2896195.4</v>
      </c>
      <c r="F31">
        <v>18599420</v>
      </c>
      <c r="G31">
        <v>21495615.399999999</v>
      </c>
      <c r="H31">
        <v>232127848925</v>
      </c>
      <c r="I31">
        <v>273478528954.901</v>
      </c>
      <c r="J31">
        <v>-4.780683185789671E-3</v>
      </c>
      <c r="K31">
        <v>42502.488125083299</v>
      </c>
      <c r="L31">
        <v>-8.8880152581160728E-3</v>
      </c>
      <c r="M31">
        <v>42883.638558918501</v>
      </c>
      <c r="N31">
        <v>1.04119621178439</v>
      </c>
      <c r="O31">
        <v>74.627771975419606</v>
      </c>
      <c r="P31">
        <v>93.366204367151596</v>
      </c>
      <c r="Q31">
        <v>40.757814966845601</v>
      </c>
      <c r="R31">
        <v>5461512</v>
      </c>
      <c r="S31">
        <v>4.1441654783293605E-3</v>
      </c>
      <c r="T31">
        <v>28.53</v>
      </c>
      <c r="U31">
        <v>9.0299999999999994</v>
      </c>
      <c r="V31">
        <v>35.864398999999999</v>
      </c>
      <c r="W31">
        <v>0.59039620000000004</v>
      </c>
      <c r="X31">
        <v>91.696920000000006</v>
      </c>
      <c r="Y31">
        <v>86.5304</v>
      </c>
      <c r="Z31">
        <v>89.993881225585895</v>
      </c>
      <c r="AA31">
        <v>2018</v>
      </c>
      <c r="AB31">
        <v>2019</v>
      </c>
      <c r="AC31">
        <v>0</v>
      </c>
      <c r="AD31">
        <v>0</v>
      </c>
      <c r="AE31">
        <v>1</v>
      </c>
      <c r="AF31">
        <v>1</v>
      </c>
      <c r="AJ31">
        <v>2.124761581420898</v>
      </c>
      <c r="AK31">
        <v>1.8776576519012449</v>
      </c>
      <c r="AL31">
        <v>7.0645599999999989E-2</v>
      </c>
      <c r="AM31">
        <f>VLOOKUP(D31,[1]Sheet1!$C$1:$D$191,2,FALSE)</f>
        <v>4</v>
      </c>
    </row>
    <row r="32" spans="1:39" x14ac:dyDescent="0.35">
      <c r="A32">
        <v>2015</v>
      </c>
      <c r="B32" t="s">
        <v>8</v>
      </c>
      <c r="C32">
        <v>4</v>
      </c>
      <c r="D32" t="s">
        <v>212</v>
      </c>
      <c r="E32">
        <v>10462347.12621999</v>
      </c>
      <c r="F32">
        <v>60439748.801151767</v>
      </c>
      <c r="G32">
        <v>70902095.92737177</v>
      </c>
      <c r="H32">
        <v>233210733506.25</v>
      </c>
      <c r="I32">
        <v>233210733506.25</v>
      </c>
      <c r="J32">
        <v>4.6650351789538089E-3</v>
      </c>
      <c r="K32">
        <v>42560.345676710298</v>
      </c>
      <c r="L32">
        <v>1.361274461314515E-3</v>
      </c>
      <c r="M32">
        <v>42502.488125083299</v>
      </c>
      <c r="N32">
        <v>-0.207928839905268</v>
      </c>
      <c r="O32">
        <v>71.961825378701405</v>
      </c>
      <c r="P32">
        <v>94.985061277308404</v>
      </c>
      <c r="Q32">
        <v>40.653783207733902</v>
      </c>
      <c r="R32">
        <v>5479531</v>
      </c>
      <c r="S32">
        <v>3.2992695063198615E-3</v>
      </c>
      <c r="T32">
        <v>28.111999999999998</v>
      </c>
      <c r="U32">
        <v>9.0299999999999994</v>
      </c>
      <c r="V32">
        <v>33.746757000000002</v>
      </c>
      <c r="W32">
        <v>0.41598600000000002</v>
      </c>
      <c r="X32">
        <v>93.625950000000003</v>
      </c>
      <c r="Y32">
        <v>86.4221</v>
      </c>
      <c r="Z32">
        <v>89.657379150390597</v>
      </c>
      <c r="AA32">
        <v>2018</v>
      </c>
      <c r="AB32">
        <v>2019</v>
      </c>
      <c r="AC32">
        <v>0</v>
      </c>
      <c r="AD32">
        <v>0</v>
      </c>
      <c r="AE32">
        <v>1</v>
      </c>
      <c r="AF32">
        <v>1</v>
      </c>
      <c r="AJ32">
        <v>2.0530364513397221</v>
      </c>
      <c r="AK32">
        <v>1.8257349729537959</v>
      </c>
      <c r="AL32">
        <v>6.1505050000000012E-2</v>
      </c>
      <c r="AM32">
        <f>VLOOKUP(D32,[1]Sheet1!$C$1:$D$191,2,FALSE)</f>
        <v>4</v>
      </c>
    </row>
    <row r="33" spans="1:39" x14ac:dyDescent="0.35">
      <c r="A33">
        <v>2016</v>
      </c>
      <c r="B33" t="s">
        <v>8</v>
      </c>
      <c r="C33">
        <v>4</v>
      </c>
      <c r="D33" t="s">
        <v>212</v>
      </c>
      <c r="E33">
        <v>36160505.482686996</v>
      </c>
      <c r="F33">
        <v>121242708.18666001</v>
      </c>
      <c r="G33">
        <v>157403213.66934699</v>
      </c>
      <c r="H33">
        <v>239208760192.96899</v>
      </c>
      <c r="I33">
        <v>238777818792.608</v>
      </c>
      <c r="J33">
        <v>2.5719342315598217E-2</v>
      </c>
      <c r="K33">
        <v>43529.676196738998</v>
      </c>
      <c r="L33">
        <v>2.2775438136517126E-2</v>
      </c>
      <c r="M33">
        <v>42560.345676710298</v>
      </c>
      <c r="N33">
        <v>0.35668450089169501</v>
      </c>
      <c r="O33">
        <v>71.722210117885894</v>
      </c>
      <c r="P33">
        <v>94.784370262890704</v>
      </c>
      <c r="Q33">
        <v>39.914795774092902</v>
      </c>
      <c r="R33">
        <v>5495303</v>
      </c>
      <c r="S33">
        <v>2.8783485301935511E-3</v>
      </c>
      <c r="T33">
        <v>26.265999999999998</v>
      </c>
      <c r="U33">
        <v>9.0299999999999994</v>
      </c>
      <c r="V33">
        <v>31.689703000000002</v>
      </c>
      <c r="W33">
        <v>0.36842530000000001</v>
      </c>
      <c r="X33">
        <v>78.654929999999993</v>
      </c>
      <c r="Y33">
        <v>87.703599999999994</v>
      </c>
      <c r="Z33">
        <v>89.3280029296875</v>
      </c>
      <c r="AA33">
        <v>2018</v>
      </c>
      <c r="AB33">
        <v>2019</v>
      </c>
      <c r="AC33">
        <v>0</v>
      </c>
      <c r="AD33">
        <v>0</v>
      </c>
      <c r="AE33">
        <v>1</v>
      </c>
      <c r="AF33">
        <v>1</v>
      </c>
      <c r="AJ33">
        <v>2.0077157020568852</v>
      </c>
      <c r="AK33">
        <v>1.806552529335022</v>
      </c>
      <c r="AL33">
        <v>8.5128574999999998E-2</v>
      </c>
      <c r="AM33">
        <f>VLOOKUP(D33,[1]Sheet1!$C$1:$D$191,2,FALSE)</f>
        <v>4</v>
      </c>
    </row>
    <row r="34" spans="1:39" x14ac:dyDescent="0.35">
      <c r="A34">
        <v>2017</v>
      </c>
      <c r="B34" t="s">
        <v>8</v>
      </c>
      <c r="C34">
        <v>4</v>
      </c>
      <c r="D34" t="s">
        <v>212</v>
      </c>
      <c r="E34">
        <v>64247795.358930811</v>
      </c>
      <c r="F34">
        <v>158066900.82978329</v>
      </c>
      <c r="G34">
        <v>222314696.18871415</v>
      </c>
      <c r="H34">
        <v>247110711000</v>
      </c>
      <c r="I34">
        <v>253846138440</v>
      </c>
      <c r="J34">
        <v>3.3033701611331144E-2</v>
      </c>
      <c r="K34">
        <v>44862.2204947012</v>
      </c>
      <c r="L34">
        <v>3.0612318178972094E-2</v>
      </c>
      <c r="M34">
        <v>43529.676196738998</v>
      </c>
      <c r="N34">
        <v>0.75401504708434597</v>
      </c>
      <c r="O34">
        <v>75.938782231004097</v>
      </c>
      <c r="P34">
        <v>94.031757051436102</v>
      </c>
      <c r="Q34">
        <v>38.166315096170102</v>
      </c>
      <c r="R34">
        <v>5508214</v>
      </c>
      <c r="S34">
        <v>2.3494609851358516E-3</v>
      </c>
      <c r="T34">
        <v>27.82</v>
      </c>
      <c r="U34">
        <v>9.0299999999999994</v>
      </c>
      <c r="V34">
        <v>32.472987000000003</v>
      </c>
      <c r="W34">
        <v>0.76353539999999998</v>
      </c>
      <c r="X34">
        <v>79.405680000000004</v>
      </c>
      <c r="Y34">
        <v>87.468900000000005</v>
      </c>
      <c r="Z34">
        <v>90.698387145996094</v>
      </c>
      <c r="AA34">
        <v>2018</v>
      </c>
      <c r="AB34">
        <v>2019</v>
      </c>
      <c r="AC34">
        <v>0</v>
      </c>
      <c r="AD34">
        <v>0</v>
      </c>
      <c r="AE34">
        <v>1</v>
      </c>
      <c r="AF34">
        <v>1</v>
      </c>
      <c r="AJ34">
        <v>2.024067640304565</v>
      </c>
      <c r="AK34">
        <v>1.812274694442749</v>
      </c>
      <c r="AL34">
        <v>3.3990375000000003E-2</v>
      </c>
      <c r="AM34">
        <f>VLOOKUP(D34,[1]Sheet1!$C$1:$D$191,2,FALSE)</f>
        <v>4</v>
      </c>
    </row>
    <row r="35" spans="1:39" x14ac:dyDescent="0.35">
      <c r="A35">
        <v>2018</v>
      </c>
      <c r="B35" t="s">
        <v>8</v>
      </c>
      <c r="C35">
        <v>4</v>
      </c>
      <c r="D35" t="s">
        <v>212</v>
      </c>
      <c r="E35">
        <v>78798024.859766006</v>
      </c>
      <c r="F35">
        <v>300393511.05225003</v>
      </c>
      <c r="G35">
        <v>379191535.91201597</v>
      </c>
      <c r="H35">
        <v>250058686750.39099</v>
      </c>
      <c r="I35">
        <v>273869255596.078</v>
      </c>
      <c r="J35">
        <v>1.1929777298852057E-2</v>
      </c>
      <c r="K35">
        <v>45337.2411058586</v>
      </c>
      <c r="L35">
        <v>1.0588432893407643E-2</v>
      </c>
      <c r="M35">
        <v>44862.2204947012</v>
      </c>
      <c r="N35">
        <v>1.0838209840930499</v>
      </c>
      <c r="O35">
        <v>79.143614842284606</v>
      </c>
      <c r="P35">
        <v>94.881524762294902</v>
      </c>
      <c r="Q35">
        <v>37.659817597723197</v>
      </c>
      <c r="R35">
        <v>5515525</v>
      </c>
      <c r="S35">
        <v>1.3272904792733179E-3</v>
      </c>
      <c r="T35">
        <v>28.527999999999999</v>
      </c>
      <c r="U35">
        <v>9.14</v>
      </c>
      <c r="V35">
        <v>34.724077000000001</v>
      </c>
      <c r="W35">
        <v>0.53520610000000002</v>
      </c>
      <c r="X35">
        <v>93.522580000000005</v>
      </c>
      <c r="Y35">
        <v>88.89</v>
      </c>
      <c r="Z35">
        <v>92.385002136230497</v>
      </c>
      <c r="AA35">
        <v>2018</v>
      </c>
      <c r="AB35">
        <v>2019</v>
      </c>
      <c r="AC35">
        <v>1</v>
      </c>
      <c r="AD35">
        <v>0</v>
      </c>
      <c r="AE35">
        <v>1</v>
      </c>
      <c r="AF35">
        <v>1</v>
      </c>
      <c r="AG35">
        <v>0</v>
      </c>
      <c r="AJ35">
        <v>2.034399032592773</v>
      </c>
      <c r="AK35">
        <v>1.779110193252563</v>
      </c>
      <c r="AL35">
        <v>2.4770774999999998E-2</v>
      </c>
      <c r="AM35">
        <f>VLOOKUP(D35,[1]Sheet1!$C$1:$D$191,2,FALSE)</f>
        <v>4</v>
      </c>
    </row>
    <row r="36" spans="1:39" x14ac:dyDescent="0.35">
      <c r="A36">
        <v>2019</v>
      </c>
      <c r="B36" t="s">
        <v>8</v>
      </c>
      <c r="C36">
        <v>4</v>
      </c>
      <c r="D36" t="s">
        <v>212</v>
      </c>
      <c r="E36">
        <v>23323611.61026914</v>
      </c>
      <c r="F36">
        <v>435494716.28357762</v>
      </c>
      <c r="G36">
        <v>458818327.89384669</v>
      </c>
      <c r="H36">
        <v>253433824963.672</v>
      </c>
      <c r="I36">
        <v>267014821129.41101</v>
      </c>
      <c r="J36">
        <v>1.3497384382611249E-2</v>
      </c>
      <c r="K36">
        <v>45898.570988888299</v>
      </c>
      <c r="L36">
        <v>1.2381209560569454E-2</v>
      </c>
      <c r="M36">
        <v>45337.2411058586</v>
      </c>
      <c r="N36">
        <v>1.0240939296343099</v>
      </c>
      <c r="O36">
        <v>80.564150294736706</v>
      </c>
      <c r="P36">
        <v>95.919385539036895</v>
      </c>
      <c r="Q36">
        <v>37.226540554591303</v>
      </c>
      <c r="R36">
        <v>5521606</v>
      </c>
      <c r="S36">
        <v>1.1025242383997896E-3</v>
      </c>
      <c r="T36">
        <v>27.69</v>
      </c>
      <c r="U36">
        <v>9.25</v>
      </c>
      <c r="V36">
        <v>37.759472000000002</v>
      </c>
      <c r="W36">
        <v>0.72287829999999997</v>
      </c>
      <c r="X36">
        <v>93.230090000000004</v>
      </c>
      <c r="Y36">
        <v>89.607399999999998</v>
      </c>
      <c r="Z36">
        <v>94.589118957519503</v>
      </c>
      <c r="AA36">
        <v>2018</v>
      </c>
      <c r="AB36">
        <v>2019</v>
      </c>
      <c r="AC36">
        <v>1</v>
      </c>
      <c r="AD36">
        <v>1</v>
      </c>
      <c r="AE36">
        <v>1</v>
      </c>
      <c r="AF36">
        <v>1</v>
      </c>
      <c r="AG36">
        <v>1</v>
      </c>
      <c r="AH36">
        <v>0</v>
      </c>
      <c r="AJ36">
        <v>2.0126290321350102</v>
      </c>
      <c r="AK36">
        <v>1.8404722213745119</v>
      </c>
      <c r="AL36">
        <v>0.110335325</v>
      </c>
      <c r="AM36">
        <f>VLOOKUP(D36,[1]Sheet1!$C$1:$D$191,2,FALSE)</f>
        <v>4</v>
      </c>
    </row>
    <row r="37" spans="1:39" x14ac:dyDescent="0.35">
      <c r="A37">
        <v>2020</v>
      </c>
      <c r="B37" t="s">
        <v>8</v>
      </c>
      <c r="C37">
        <v>4</v>
      </c>
      <c r="D37" t="s">
        <v>212</v>
      </c>
      <c r="E37">
        <v>19324784.03835037</v>
      </c>
      <c r="F37">
        <v>376010114.00194091</v>
      </c>
      <c r="G37">
        <v>395334898.04029125</v>
      </c>
      <c r="H37">
        <v>247120696616.01599</v>
      </c>
      <c r="I37">
        <v>270000311606.22601</v>
      </c>
      <c r="J37">
        <v>-2.4910362097722943E-2</v>
      </c>
      <c r="K37">
        <v>44690.980179739199</v>
      </c>
      <c r="L37">
        <v>-2.6309987067820669E-2</v>
      </c>
      <c r="M37">
        <v>45898.570988888299</v>
      </c>
      <c r="N37">
        <v>0.29055455565323901</v>
      </c>
      <c r="O37">
        <v>72.184595599588803</v>
      </c>
      <c r="P37">
        <v>101.738251257472</v>
      </c>
      <c r="Q37">
        <v>41.5382402585591</v>
      </c>
      <c r="R37">
        <v>5529543</v>
      </c>
      <c r="S37">
        <v>1.4374441059358456E-3</v>
      </c>
      <c r="T37">
        <v>27.364999999999998</v>
      </c>
      <c r="U37">
        <v>9.1999999999999993</v>
      </c>
      <c r="V37">
        <v>37.336579999999998</v>
      </c>
      <c r="W37">
        <v>0.78825889999999998</v>
      </c>
      <c r="X37">
        <v>94.26146</v>
      </c>
      <c r="Y37">
        <v>92.170299999999997</v>
      </c>
      <c r="Z37">
        <v>96.472633361816406</v>
      </c>
      <c r="AA37">
        <v>2018</v>
      </c>
      <c r="AB37">
        <v>2019</v>
      </c>
      <c r="AC37">
        <v>1</v>
      </c>
      <c r="AD37">
        <v>1</v>
      </c>
      <c r="AE37">
        <v>1</v>
      </c>
      <c r="AF37">
        <v>1</v>
      </c>
      <c r="AG37">
        <v>2</v>
      </c>
      <c r="AH37">
        <v>1</v>
      </c>
      <c r="AJ37">
        <v>2.0185921192169189</v>
      </c>
      <c r="AK37">
        <v>1.850898265838623</v>
      </c>
      <c r="AL37">
        <v>0.16371464999999999</v>
      </c>
      <c r="AM37">
        <f>VLOOKUP(D37,[1]Sheet1!$C$1:$D$191,2,FALSE)</f>
        <v>4</v>
      </c>
    </row>
    <row r="38" spans="1:39" x14ac:dyDescent="0.35">
      <c r="A38">
        <v>2012</v>
      </c>
      <c r="B38" t="s">
        <v>9</v>
      </c>
      <c r="C38">
        <v>5</v>
      </c>
      <c r="D38" t="s">
        <v>213</v>
      </c>
      <c r="E38">
        <v>12859885.857930001</v>
      </c>
      <c r="F38">
        <v>15429996</v>
      </c>
      <c r="G38">
        <v>28289881.857930001</v>
      </c>
      <c r="H38">
        <v>2374265768198.23</v>
      </c>
      <c r="I38">
        <v>2683007095787.23</v>
      </c>
      <c r="J38">
        <v>1.8383527101921988E-3</v>
      </c>
      <c r="K38">
        <v>36161.291833420903</v>
      </c>
      <c r="L38">
        <v>-2.995987232549738E-3</v>
      </c>
      <c r="M38">
        <v>36269.9561589984</v>
      </c>
      <c r="N38">
        <v>1.9541953161351</v>
      </c>
      <c r="O38">
        <v>61.658957077110202</v>
      </c>
      <c r="P38">
        <v>96.578549295937194</v>
      </c>
      <c r="Q38">
        <v>48.0838320715254</v>
      </c>
      <c r="R38">
        <v>65657659</v>
      </c>
      <c r="S38">
        <v>4.8488670866286823E-3</v>
      </c>
      <c r="T38">
        <v>34.435000000000002</v>
      </c>
      <c r="U38">
        <v>7.88</v>
      </c>
      <c r="V38">
        <v>109.36944</v>
      </c>
      <c r="W38">
        <v>0.82356790000000002</v>
      </c>
      <c r="X38">
        <v>61.808190000000003</v>
      </c>
      <c r="Y38">
        <v>81.44</v>
      </c>
      <c r="Z38">
        <v>57.909011840820298</v>
      </c>
      <c r="AA38">
        <v>2018</v>
      </c>
      <c r="AB38">
        <v>2019</v>
      </c>
      <c r="AC38">
        <v>0</v>
      </c>
      <c r="AD38">
        <v>0</v>
      </c>
      <c r="AE38">
        <v>1</v>
      </c>
      <c r="AF38">
        <v>1</v>
      </c>
      <c r="AJ38">
        <v>1.436932444572449</v>
      </c>
      <c r="AK38">
        <v>1.124174118041992</v>
      </c>
      <c r="AL38">
        <v>0.130214525</v>
      </c>
      <c r="AM38">
        <f>VLOOKUP(D38,[1]Sheet1!$C$1:$D$191,2,FALSE)</f>
        <v>5</v>
      </c>
    </row>
    <row r="39" spans="1:39" x14ac:dyDescent="0.35">
      <c r="A39">
        <v>2013</v>
      </c>
      <c r="B39" t="s">
        <v>9</v>
      </c>
      <c r="C39">
        <v>5</v>
      </c>
      <c r="D39" t="s">
        <v>213</v>
      </c>
      <c r="E39">
        <v>29823839.520500962</v>
      </c>
      <c r="F39">
        <v>58610244.509999998</v>
      </c>
      <c r="G39">
        <v>99083305.145075947</v>
      </c>
      <c r="H39">
        <v>2392826743884.2402</v>
      </c>
      <c r="I39">
        <v>2816077607875.2598</v>
      </c>
      <c r="J39">
        <v>7.8175644591362264E-3</v>
      </c>
      <c r="K39">
        <v>36256.086688962299</v>
      </c>
      <c r="L39">
        <v>2.6214454942062042E-3</v>
      </c>
      <c r="M39">
        <v>36161.291833420903</v>
      </c>
      <c r="N39">
        <v>0.86371549786180501</v>
      </c>
      <c r="O39">
        <v>61.8192338733962</v>
      </c>
      <c r="P39">
        <v>95.876962687184104</v>
      </c>
      <c r="Q39">
        <v>48.047590590976903</v>
      </c>
      <c r="R39">
        <v>65997932</v>
      </c>
      <c r="S39">
        <v>5.1825332365261455E-3</v>
      </c>
      <c r="T39">
        <v>33.308999999999997</v>
      </c>
      <c r="U39">
        <v>7.92</v>
      </c>
      <c r="V39">
        <v>108.94654</v>
      </c>
      <c r="W39">
        <v>0.92793150000000002</v>
      </c>
      <c r="X39">
        <v>60.356259999999999</v>
      </c>
      <c r="Y39">
        <v>81.919799999999995</v>
      </c>
      <c r="Z39">
        <v>59.848758697509801</v>
      </c>
      <c r="AA39">
        <v>2018</v>
      </c>
      <c r="AB39">
        <v>2019</v>
      </c>
      <c r="AC39">
        <v>0</v>
      </c>
      <c r="AD39">
        <v>0</v>
      </c>
      <c r="AE39">
        <v>1</v>
      </c>
      <c r="AF39">
        <v>1</v>
      </c>
      <c r="AJ39">
        <v>1.4023628234863279</v>
      </c>
      <c r="AK39">
        <v>1.1498948335647581</v>
      </c>
      <c r="AL39">
        <v>9.2861625000000003E-2</v>
      </c>
      <c r="AM39">
        <f>VLOOKUP(D39,[1]Sheet1!$C$1:$D$191,2,FALSE)</f>
        <v>5</v>
      </c>
    </row>
    <row r="40" spans="1:39" x14ac:dyDescent="0.35">
      <c r="A40">
        <v>2014</v>
      </c>
      <c r="B40" t="s">
        <v>9</v>
      </c>
      <c r="C40">
        <v>5</v>
      </c>
      <c r="D40" t="s">
        <v>213</v>
      </c>
      <c r="E40">
        <v>53604098.379369996</v>
      </c>
      <c r="F40">
        <v>125213952.5</v>
      </c>
      <c r="G40">
        <v>198566649.32936999</v>
      </c>
      <c r="H40">
        <v>2416703157283.96</v>
      </c>
      <c r="I40">
        <v>2861236112552.4199</v>
      </c>
      <c r="J40">
        <v>9.9783293799874107E-3</v>
      </c>
      <c r="K40">
        <v>36444.394913582699</v>
      </c>
      <c r="L40">
        <v>5.1938375543913139E-3</v>
      </c>
      <c r="M40">
        <v>36256.086688962299</v>
      </c>
      <c r="N40">
        <v>0.50775882293799002</v>
      </c>
      <c r="O40">
        <v>62.199266937950703</v>
      </c>
      <c r="P40">
        <v>93.915908150364601</v>
      </c>
      <c r="Q40">
        <v>48.200447864222397</v>
      </c>
      <c r="R40">
        <v>66312067</v>
      </c>
      <c r="S40">
        <v>4.7597703515922284E-3</v>
      </c>
      <c r="T40">
        <v>31.763999999999999</v>
      </c>
      <c r="U40">
        <v>8.0399999999999991</v>
      </c>
      <c r="V40">
        <v>108.21738000000001</v>
      </c>
      <c r="W40">
        <v>0.71350029999999998</v>
      </c>
      <c r="X40">
        <v>61.140149999999998</v>
      </c>
      <c r="Y40">
        <v>83.751099999999994</v>
      </c>
      <c r="Z40">
        <v>61.5104789733887</v>
      </c>
      <c r="AA40">
        <v>2018</v>
      </c>
      <c r="AB40">
        <v>2019</v>
      </c>
      <c r="AC40">
        <v>0</v>
      </c>
      <c r="AD40">
        <v>0</v>
      </c>
      <c r="AE40">
        <v>1</v>
      </c>
      <c r="AF40">
        <v>1</v>
      </c>
      <c r="AJ40">
        <v>1.453503012657166</v>
      </c>
      <c r="AK40">
        <v>1.074068427085876</v>
      </c>
      <c r="AL40">
        <v>7.5770724999999997E-2</v>
      </c>
      <c r="AM40">
        <f>VLOOKUP(D40,[1]Sheet1!$C$1:$D$191,2,FALSE)</f>
        <v>5</v>
      </c>
    </row>
    <row r="41" spans="1:39" x14ac:dyDescent="0.35">
      <c r="A41">
        <v>2015</v>
      </c>
      <c r="B41" t="s">
        <v>9</v>
      </c>
      <c r="C41">
        <v>5</v>
      </c>
      <c r="D41" t="s">
        <v>213</v>
      </c>
      <c r="E41">
        <v>152241044.20997679</v>
      </c>
      <c r="F41">
        <v>201037306.56901681</v>
      </c>
      <c r="G41">
        <v>353278350.77899361</v>
      </c>
      <c r="H41">
        <v>2442483452642.5</v>
      </c>
      <c r="I41">
        <v>2442483452642.5</v>
      </c>
      <c r="J41">
        <v>1.0667547348890596E-2</v>
      </c>
      <c r="K41">
        <v>36702.432373337899</v>
      </c>
      <c r="L41">
        <v>7.0803057745110294E-3</v>
      </c>
      <c r="M41">
        <v>36444.394913582699</v>
      </c>
      <c r="N41">
        <v>3.7514380512518201E-2</v>
      </c>
      <c r="O41">
        <v>63.504687195648401</v>
      </c>
      <c r="P41">
        <v>94.945420226822804</v>
      </c>
      <c r="Q41">
        <v>47.927238719186903</v>
      </c>
      <c r="R41">
        <v>66548272</v>
      </c>
      <c r="S41">
        <v>3.5620213738775477E-3</v>
      </c>
      <c r="T41">
        <v>30.81</v>
      </c>
      <c r="U41">
        <v>7.92</v>
      </c>
      <c r="V41">
        <v>107.22911000000001</v>
      </c>
      <c r="W41">
        <v>0.56529079999999998</v>
      </c>
      <c r="X41">
        <v>65.484110000000001</v>
      </c>
      <c r="Y41">
        <v>78.006</v>
      </c>
      <c r="Z41">
        <v>62.785930633544901</v>
      </c>
      <c r="AA41">
        <v>2018</v>
      </c>
      <c r="AB41">
        <v>2019</v>
      </c>
      <c r="AC41">
        <v>0</v>
      </c>
      <c r="AD41">
        <v>0</v>
      </c>
      <c r="AE41">
        <v>1</v>
      </c>
      <c r="AF41">
        <v>1</v>
      </c>
      <c r="AJ41">
        <v>1.366795539855957</v>
      </c>
      <c r="AK41">
        <v>1.1158076524734499</v>
      </c>
      <c r="AL41">
        <v>8.1192050000000002E-2</v>
      </c>
      <c r="AM41">
        <f>VLOOKUP(D41,[1]Sheet1!$C$1:$D$191,2,FALSE)</f>
        <v>5</v>
      </c>
    </row>
    <row r="42" spans="1:39" x14ac:dyDescent="0.35">
      <c r="A42">
        <v>2016</v>
      </c>
      <c r="B42" t="s">
        <v>9</v>
      </c>
      <c r="C42">
        <v>5</v>
      </c>
      <c r="D42" t="s">
        <v>213</v>
      </c>
      <c r="E42">
        <v>147722591.34514549</v>
      </c>
      <c r="F42">
        <v>343605178.02363002</v>
      </c>
      <c r="G42">
        <v>491327769.36877555</v>
      </c>
      <c r="H42">
        <v>2463489569508.3198</v>
      </c>
      <c r="I42">
        <v>2470407619777.1299</v>
      </c>
      <c r="J42">
        <v>8.6003108201586805E-3</v>
      </c>
      <c r="K42">
        <v>36920.5342871045</v>
      </c>
      <c r="L42">
        <v>5.9424375896415691E-3</v>
      </c>
      <c r="M42">
        <v>36702.432373337899</v>
      </c>
      <c r="N42">
        <v>0.18333486112385999</v>
      </c>
      <c r="O42">
        <v>63.342756438335101</v>
      </c>
      <c r="P42">
        <v>97.490468761985696</v>
      </c>
      <c r="Q42">
        <v>47.931481188081897</v>
      </c>
      <c r="R42">
        <v>66724104</v>
      </c>
      <c r="S42">
        <v>2.6421722866072314E-3</v>
      </c>
      <c r="T42">
        <v>30.227</v>
      </c>
      <c r="U42">
        <v>7.92</v>
      </c>
      <c r="V42">
        <v>104.74073</v>
      </c>
      <c r="W42">
        <v>0.58791850000000001</v>
      </c>
      <c r="X42">
        <v>64.604200000000006</v>
      </c>
      <c r="Y42">
        <v>79.269800000000004</v>
      </c>
      <c r="Z42">
        <v>64.727676391601605</v>
      </c>
      <c r="AA42">
        <v>2018</v>
      </c>
      <c r="AB42">
        <v>2019</v>
      </c>
      <c r="AC42">
        <v>0</v>
      </c>
      <c r="AD42">
        <v>0</v>
      </c>
      <c r="AE42">
        <v>1</v>
      </c>
      <c r="AF42">
        <v>1</v>
      </c>
      <c r="AJ42">
        <v>1.351561903953552</v>
      </c>
      <c r="AK42">
        <v>1.058618426322937</v>
      </c>
      <c r="AL42">
        <v>4.3705325000000003E-2</v>
      </c>
      <c r="AM42">
        <f>VLOOKUP(D42,[1]Sheet1!$C$1:$D$191,2,FALSE)</f>
        <v>5</v>
      </c>
    </row>
    <row r="43" spans="1:39" x14ac:dyDescent="0.35">
      <c r="A43">
        <v>2017</v>
      </c>
      <c r="B43" t="s">
        <v>9</v>
      </c>
      <c r="C43">
        <v>5</v>
      </c>
      <c r="D43" t="s">
        <v>213</v>
      </c>
      <c r="E43">
        <v>195016902.57749569</v>
      </c>
      <c r="F43">
        <v>552170609.41580999</v>
      </c>
      <c r="G43">
        <v>747274513.52330565</v>
      </c>
      <c r="H43">
        <v>2514819204022.0898</v>
      </c>
      <c r="I43">
        <v>2588868323334.71</v>
      </c>
      <c r="J43">
        <v>2.0836148506208102E-2</v>
      </c>
      <c r="K43">
        <v>37580.5979319486</v>
      </c>
      <c r="L43">
        <v>1.7877954845161741E-2</v>
      </c>
      <c r="M43">
        <v>36920.5342871045</v>
      </c>
      <c r="N43">
        <v>1.0322827506466199</v>
      </c>
      <c r="O43">
        <v>65.395848155971095</v>
      </c>
      <c r="P43">
        <v>101.61783023418801</v>
      </c>
      <c r="Q43">
        <v>47.823769500155002</v>
      </c>
      <c r="R43">
        <v>66918020</v>
      </c>
      <c r="S43">
        <v>2.9062361032229072E-3</v>
      </c>
      <c r="T43">
        <v>30.15</v>
      </c>
      <c r="U43">
        <v>7.8</v>
      </c>
      <c r="V43">
        <v>102.19112</v>
      </c>
      <c r="W43">
        <v>0.5920687</v>
      </c>
      <c r="X43">
        <v>64.250630000000001</v>
      </c>
      <c r="Y43">
        <v>80.502499999999998</v>
      </c>
      <c r="Z43">
        <v>65.802230834960895</v>
      </c>
      <c r="AA43">
        <v>2018</v>
      </c>
      <c r="AB43">
        <v>2019</v>
      </c>
      <c r="AC43">
        <v>0</v>
      </c>
      <c r="AD43">
        <v>0</v>
      </c>
      <c r="AE43">
        <v>1</v>
      </c>
      <c r="AF43">
        <v>1</v>
      </c>
      <c r="AJ43">
        <v>1.398061871528625</v>
      </c>
      <c r="AK43">
        <v>1.1464847326278691</v>
      </c>
      <c r="AL43">
        <v>6.3131975000000007E-2</v>
      </c>
      <c r="AM43">
        <f>VLOOKUP(D43,[1]Sheet1!$C$1:$D$191,2,FALSE)</f>
        <v>5</v>
      </c>
    </row>
    <row r="44" spans="1:39" x14ac:dyDescent="0.35">
      <c r="A44">
        <v>2018</v>
      </c>
      <c r="B44" t="s">
        <v>9</v>
      </c>
      <c r="C44">
        <v>5</v>
      </c>
      <c r="D44" t="s">
        <v>213</v>
      </c>
      <c r="E44">
        <v>279416141.53863102</v>
      </c>
      <c r="F44">
        <v>647434156.61265004</v>
      </c>
      <c r="G44">
        <v>933132953.11628091</v>
      </c>
      <c r="H44">
        <v>2556210832827.8901</v>
      </c>
      <c r="I44">
        <v>2781576320884.3901</v>
      </c>
      <c r="J44">
        <v>1.6459087293273555E-2</v>
      </c>
      <c r="K44">
        <v>38062.443597151701</v>
      </c>
      <c r="L44">
        <v>1.2821660423701448E-2</v>
      </c>
      <c r="M44">
        <v>37580.5979319486</v>
      </c>
      <c r="N44">
        <v>1.8508150831550201</v>
      </c>
      <c r="O44">
        <v>66.802260781226593</v>
      </c>
      <c r="P44">
        <v>104.624051971951</v>
      </c>
      <c r="Q44">
        <v>46.9309441415989</v>
      </c>
      <c r="R44">
        <v>67158348</v>
      </c>
      <c r="S44">
        <v>3.5913794221646127E-3</v>
      </c>
      <c r="T44">
        <v>29.408000000000001</v>
      </c>
      <c r="U44">
        <v>7.8</v>
      </c>
      <c r="V44">
        <v>98.087660999999997</v>
      </c>
      <c r="W44">
        <v>0.47833199999999998</v>
      </c>
      <c r="X44">
        <v>64.689670000000007</v>
      </c>
      <c r="Y44">
        <v>82.043199999999999</v>
      </c>
      <c r="Z44">
        <v>67.543518066406193</v>
      </c>
      <c r="AA44">
        <v>2018</v>
      </c>
      <c r="AB44">
        <v>2019</v>
      </c>
      <c r="AC44">
        <v>1</v>
      </c>
      <c r="AD44">
        <v>0</v>
      </c>
      <c r="AE44">
        <v>1</v>
      </c>
      <c r="AF44">
        <v>1</v>
      </c>
      <c r="AG44">
        <v>0</v>
      </c>
      <c r="AJ44">
        <v>1.396224737167358</v>
      </c>
      <c r="AK44">
        <v>1.147498607635498</v>
      </c>
      <c r="AL44">
        <v>3.9974599999999999E-2</v>
      </c>
      <c r="AM44">
        <f>VLOOKUP(D44,[1]Sheet1!$C$1:$D$191,2,FALSE)</f>
        <v>5</v>
      </c>
    </row>
    <row r="45" spans="1:39" x14ac:dyDescent="0.35">
      <c r="A45">
        <v>2019</v>
      </c>
      <c r="B45" t="s">
        <v>9</v>
      </c>
      <c r="C45">
        <v>5</v>
      </c>
      <c r="D45" t="s">
        <v>213</v>
      </c>
      <c r="E45">
        <v>394851915.61222619</v>
      </c>
      <c r="F45">
        <v>945039902.04515147</v>
      </c>
      <c r="G45">
        <v>1339891817.6573772</v>
      </c>
      <c r="H45">
        <v>2608036639287.3198</v>
      </c>
      <c r="I45">
        <v>2722793515171.7598</v>
      </c>
      <c r="J45">
        <v>2.0274464763963045E-2</v>
      </c>
      <c r="K45">
        <v>38705.207299719099</v>
      </c>
      <c r="L45">
        <v>1.6887084533256214E-2</v>
      </c>
      <c r="M45">
        <v>38062.443597151701</v>
      </c>
      <c r="N45">
        <v>1.1082549228829399</v>
      </c>
      <c r="O45">
        <v>66.428977174144904</v>
      </c>
      <c r="P45">
        <v>106.91303058605099</v>
      </c>
      <c r="Q45">
        <v>46.405799046364002</v>
      </c>
      <c r="R45">
        <v>67382061</v>
      </c>
      <c r="S45">
        <v>3.3311272040223504E-3</v>
      </c>
      <c r="T45">
        <v>28.477</v>
      </c>
      <c r="U45">
        <v>8.1199999999999992</v>
      </c>
      <c r="V45">
        <v>96.242271000000002</v>
      </c>
      <c r="W45">
        <v>0.39048310000000003</v>
      </c>
      <c r="X45">
        <v>64.138509999999997</v>
      </c>
      <c r="Y45">
        <v>83.339699999999993</v>
      </c>
      <c r="Z45">
        <v>67.733131408691406</v>
      </c>
      <c r="AA45">
        <v>2018</v>
      </c>
      <c r="AB45">
        <v>2019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0</v>
      </c>
      <c r="AJ45">
        <v>1.3714848756790159</v>
      </c>
      <c r="AK45">
        <v>1.4315377473831179</v>
      </c>
      <c r="AL45">
        <v>0.10191887500000001</v>
      </c>
      <c r="AM45">
        <f>VLOOKUP(D45,[1]Sheet1!$C$1:$D$191,2,FALSE)</f>
        <v>5</v>
      </c>
    </row>
    <row r="46" spans="1:39" x14ac:dyDescent="0.35">
      <c r="A46">
        <v>2020</v>
      </c>
      <c r="B46" t="s">
        <v>9</v>
      </c>
      <c r="C46">
        <v>5</v>
      </c>
      <c r="D46" t="s">
        <v>213</v>
      </c>
      <c r="E46">
        <v>567626298.07495332</v>
      </c>
      <c r="F46">
        <v>1262851037.8965549</v>
      </c>
      <c r="G46">
        <v>1830477335.971509</v>
      </c>
      <c r="H46">
        <v>2413981867221.7598</v>
      </c>
      <c r="I46">
        <v>2647926055110.0498</v>
      </c>
      <c r="J46">
        <v>-7.4406459304416847E-2</v>
      </c>
      <c r="K46">
        <v>35709.204585867999</v>
      </c>
      <c r="L46">
        <v>-7.740567543408669E-2</v>
      </c>
      <c r="M46">
        <v>38705.207299719099</v>
      </c>
      <c r="N46">
        <v>0.47649885272506598</v>
      </c>
      <c r="O46">
        <v>58.838890724064697</v>
      </c>
      <c r="P46">
        <v>125.397439701102</v>
      </c>
      <c r="Q46">
        <v>51.9101865429149</v>
      </c>
      <c r="R46">
        <v>67601110</v>
      </c>
      <c r="S46">
        <v>3.2508504006726656E-3</v>
      </c>
      <c r="T46">
        <v>27.623999999999999</v>
      </c>
      <c r="U46">
        <v>7.99</v>
      </c>
      <c r="V46">
        <v>93.538978</v>
      </c>
      <c r="W46">
        <v>0.49334410000000001</v>
      </c>
      <c r="X46">
        <v>66.150859999999994</v>
      </c>
      <c r="Y46">
        <v>84.706400000000002</v>
      </c>
      <c r="Z46">
        <v>68.870941162109403</v>
      </c>
      <c r="AA46">
        <v>2018</v>
      </c>
      <c r="AB46">
        <v>2019</v>
      </c>
      <c r="AC46">
        <v>1</v>
      </c>
      <c r="AD46">
        <v>1</v>
      </c>
      <c r="AE46">
        <v>1</v>
      </c>
      <c r="AF46">
        <v>1</v>
      </c>
      <c r="AG46">
        <v>2</v>
      </c>
      <c r="AH46">
        <v>1</v>
      </c>
      <c r="AJ46">
        <v>1.29872727394104</v>
      </c>
      <c r="AK46">
        <v>1.189461946487427</v>
      </c>
      <c r="AL46">
        <v>0.12067602500000001</v>
      </c>
      <c r="AM46">
        <f>VLOOKUP(D46,[1]Sheet1!$C$1:$D$191,2,FALSE)</f>
        <v>5</v>
      </c>
    </row>
    <row r="47" spans="1:39" x14ac:dyDescent="0.35">
      <c r="A47">
        <v>2012</v>
      </c>
      <c r="B47" t="s">
        <v>10</v>
      </c>
      <c r="C47">
        <v>6</v>
      </c>
      <c r="D47" t="s">
        <v>215</v>
      </c>
      <c r="E47">
        <v>13256637.34507799</v>
      </c>
      <c r="F47">
        <v>25772079.4023</v>
      </c>
      <c r="G47">
        <v>39028716.747377984</v>
      </c>
      <c r="H47">
        <v>3283708733629.98</v>
      </c>
      <c r="I47">
        <v>3597896500945.3101</v>
      </c>
      <c r="J47">
        <v>4.7429130585534768E-3</v>
      </c>
      <c r="K47">
        <v>40829.034893805001</v>
      </c>
      <c r="L47">
        <v>2.8585006229407601E-3</v>
      </c>
      <c r="M47">
        <v>40712.657736304202</v>
      </c>
      <c r="N47">
        <v>2.0084888478295602</v>
      </c>
      <c r="O47">
        <v>79.300487790942697</v>
      </c>
      <c r="P47">
        <v>82.158992708132502</v>
      </c>
      <c r="Q47">
        <v>27.933530449439001</v>
      </c>
      <c r="R47">
        <v>80425823</v>
      </c>
      <c r="S47">
        <v>1.879041195187796E-3</v>
      </c>
      <c r="T47">
        <v>40.991</v>
      </c>
      <c r="U47">
        <v>8.34</v>
      </c>
      <c r="V47">
        <v>118.64615000000001</v>
      </c>
      <c r="W47">
        <v>0.80157230000000002</v>
      </c>
      <c r="X47">
        <v>79.017110000000002</v>
      </c>
      <c r="Y47">
        <v>82.35</v>
      </c>
      <c r="AA47">
        <v>2018</v>
      </c>
      <c r="AB47">
        <v>2019</v>
      </c>
      <c r="AC47">
        <v>0</v>
      </c>
      <c r="AD47">
        <v>0</v>
      </c>
      <c r="AE47">
        <v>1</v>
      </c>
      <c r="AF47">
        <v>1</v>
      </c>
      <c r="AJ47">
        <v>1.6692320108413701</v>
      </c>
      <c r="AK47">
        <v>1.5290828943252559</v>
      </c>
      <c r="AL47">
        <v>0.1073187</v>
      </c>
      <c r="AM47">
        <f>VLOOKUP(D47,[1]Sheet1!$C$1:$D$191,2,FALSE)</f>
        <v>6</v>
      </c>
    </row>
    <row r="48" spans="1:39" x14ac:dyDescent="0.35">
      <c r="A48">
        <v>2013</v>
      </c>
      <c r="B48" t="s">
        <v>10</v>
      </c>
      <c r="C48">
        <v>6</v>
      </c>
      <c r="D48" t="s">
        <v>215</v>
      </c>
      <c r="E48">
        <v>34591211.152716003</v>
      </c>
      <c r="F48">
        <v>48332932.15860001</v>
      </c>
      <c r="G48">
        <v>82924143.311316013</v>
      </c>
      <c r="H48">
        <v>3296391223767.1299</v>
      </c>
      <c r="I48">
        <v>3808086291482.3599</v>
      </c>
      <c r="J48">
        <v>3.8622457611001411E-3</v>
      </c>
      <c r="K48">
        <v>40875.026280317798</v>
      </c>
      <c r="L48">
        <v>1.1264382474976094E-3</v>
      </c>
      <c r="M48">
        <v>40829.034893805001</v>
      </c>
      <c r="N48">
        <v>1.5047233025187601</v>
      </c>
      <c r="O48">
        <v>77.564381574174803</v>
      </c>
      <c r="P48">
        <v>80.662265282776701</v>
      </c>
      <c r="Q48">
        <v>27.989174409196199</v>
      </c>
      <c r="R48">
        <v>80645605</v>
      </c>
      <c r="S48">
        <v>2.7327292628388771E-3</v>
      </c>
      <c r="T48">
        <v>41.49</v>
      </c>
      <c r="U48">
        <v>8.31</v>
      </c>
      <c r="V48">
        <v>118.40815000000001</v>
      </c>
      <c r="W48">
        <v>0.87430870000000005</v>
      </c>
      <c r="X48">
        <v>75.331239999999994</v>
      </c>
      <c r="Y48">
        <v>84.17</v>
      </c>
      <c r="Z48">
        <v>60.898448944091797</v>
      </c>
      <c r="AA48">
        <v>2018</v>
      </c>
      <c r="AB48">
        <v>2019</v>
      </c>
      <c r="AC48">
        <v>0</v>
      </c>
      <c r="AD48">
        <v>0</v>
      </c>
      <c r="AE48">
        <v>1</v>
      </c>
      <c r="AF48">
        <v>1</v>
      </c>
      <c r="AJ48">
        <v>1.6419838666915889</v>
      </c>
      <c r="AK48">
        <v>1.5443403720855711</v>
      </c>
      <c r="AL48">
        <v>8.9118950000000002E-2</v>
      </c>
      <c r="AM48">
        <f>VLOOKUP(D48,[1]Sheet1!$C$1:$D$191,2,FALSE)</f>
        <v>6</v>
      </c>
    </row>
    <row r="49" spans="1:39" x14ac:dyDescent="0.35">
      <c r="A49">
        <v>2014</v>
      </c>
      <c r="B49" t="s">
        <v>10</v>
      </c>
      <c r="C49">
        <v>6</v>
      </c>
      <c r="D49" t="s">
        <v>215</v>
      </c>
      <c r="E49">
        <v>57506131.813550003</v>
      </c>
      <c r="F49">
        <v>114909873.81999999</v>
      </c>
      <c r="G49">
        <v>172548858.63354999</v>
      </c>
      <c r="H49">
        <v>3367906396055.5098</v>
      </c>
      <c r="I49">
        <v>3965800686309.79</v>
      </c>
      <c r="J49">
        <v>2.1694989287907411E-2</v>
      </c>
      <c r="K49">
        <v>41588.076387559202</v>
      </c>
      <c r="L49">
        <v>1.7444639725767062E-2</v>
      </c>
      <c r="M49">
        <v>40875.026280317798</v>
      </c>
      <c r="N49">
        <v>0.90679400043424596</v>
      </c>
      <c r="O49">
        <v>76.830331270915906</v>
      </c>
      <c r="P49">
        <v>77.773795127245705</v>
      </c>
      <c r="Q49">
        <v>27.5095890686293</v>
      </c>
      <c r="R49">
        <v>80982500</v>
      </c>
      <c r="S49">
        <v>4.1774750155324641E-3</v>
      </c>
      <c r="T49">
        <v>37.585000000000001</v>
      </c>
      <c r="U49">
        <v>8.64</v>
      </c>
      <c r="V49">
        <v>123.51066</v>
      </c>
      <c r="W49">
        <v>0.95343230000000001</v>
      </c>
      <c r="X49">
        <v>75.87688</v>
      </c>
      <c r="Y49">
        <v>86.193700000000007</v>
      </c>
      <c r="Z49">
        <v>65.184478759765597</v>
      </c>
      <c r="AA49">
        <v>2018</v>
      </c>
      <c r="AB49">
        <v>2019</v>
      </c>
      <c r="AC49">
        <v>0</v>
      </c>
      <c r="AD49">
        <v>0</v>
      </c>
      <c r="AE49">
        <v>1</v>
      </c>
      <c r="AF49">
        <v>1</v>
      </c>
      <c r="AJ49">
        <v>1.850204706192017</v>
      </c>
      <c r="AK49">
        <v>1.697039127349854</v>
      </c>
      <c r="AL49">
        <v>0.105243</v>
      </c>
      <c r="AM49">
        <f>VLOOKUP(D49,[1]Sheet1!$C$1:$D$191,2,FALSE)</f>
        <v>6</v>
      </c>
    </row>
    <row r="50" spans="1:39" x14ac:dyDescent="0.35">
      <c r="A50">
        <v>2015</v>
      </c>
      <c r="B50" t="s">
        <v>10</v>
      </c>
      <c r="C50">
        <v>6</v>
      </c>
      <c r="D50" t="s">
        <v>215</v>
      </c>
      <c r="E50">
        <v>70451890.707723871</v>
      </c>
      <c r="F50">
        <v>205577746.8949995</v>
      </c>
      <c r="G50">
        <v>276029637.6027233</v>
      </c>
      <c r="H50">
        <v>3423568450957.0298</v>
      </c>
      <c r="I50">
        <v>3423568450957.0298</v>
      </c>
      <c r="J50">
        <v>1.65271977174637E-2</v>
      </c>
      <c r="K50">
        <v>41911.0109851054</v>
      </c>
      <c r="L50">
        <v>7.7650765699469118E-3</v>
      </c>
      <c r="M50">
        <v>41588.076387559202</v>
      </c>
      <c r="N50">
        <v>0.51442613712545604</v>
      </c>
      <c r="O50">
        <v>77.791356764376999</v>
      </c>
      <c r="P50">
        <v>76.615753568940093</v>
      </c>
      <c r="Q50">
        <v>27.448770923468299</v>
      </c>
      <c r="R50">
        <v>81686611</v>
      </c>
      <c r="S50">
        <v>8.6946068595066834E-3</v>
      </c>
      <c r="T50">
        <v>38.039000000000001</v>
      </c>
      <c r="U50">
        <v>8.64</v>
      </c>
      <c r="V50">
        <v>122.30473000000001</v>
      </c>
      <c r="W50">
        <v>0.67375220000000002</v>
      </c>
      <c r="X50">
        <v>77.25694</v>
      </c>
      <c r="Y50">
        <v>87.589799999999997</v>
      </c>
      <c r="Z50">
        <v>68.23291015625</v>
      </c>
      <c r="AA50">
        <v>2018</v>
      </c>
      <c r="AB50">
        <v>2019</v>
      </c>
      <c r="AC50">
        <v>0</v>
      </c>
      <c r="AD50">
        <v>0</v>
      </c>
      <c r="AE50">
        <v>1</v>
      </c>
      <c r="AF50">
        <v>1</v>
      </c>
      <c r="AJ50">
        <v>1.7591400146484379</v>
      </c>
      <c r="AK50">
        <v>1.711914658546448</v>
      </c>
      <c r="AL50">
        <v>6.6058600000000009E-2</v>
      </c>
      <c r="AM50">
        <f>VLOOKUP(D50,[1]Sheet1!$C$1:$D$191,2,FALSE)</f>
        <v>6</v>
      </c>
    </row>
    <row r="51" spans="1:39" x14ac:dyDescent="0.35">
      <c r="A51">
        <v>2016</v>
      </c>
      <c r="B51" t="s">
        <v>10</v>
      </c>
      <c r="C51">
        <v>6</v>
      </c>
      <c r="D51" t="s">
        <v>215</v>
      </c>
      <c r="E51">
        <v>118534474.76349489</v>
      </c>
      <c r="F51">
        <v>237624893.23715401</v>
      </c>
      <c r="G51">
        <v>356159368.00064886</v>
      </c>
      <c r="H51">
        <v>3502129441730.1602</v>
      </c>
      <c r="I51">
        <v>3537784107980.5498</v>
      </c>
      <c r="J51">
        <v>2.2947106768427341E-2</v>
      </c>
      <c r="K51">
        <v>42528.063710782801</v>
      </c>
      <c r="L51">
        <v>1.4722926294874929E-2</v>
      </c>
      <c r="M51">
        <v>41911.0109851054</v>
      </c>
      <c r="N51">
        <v>0.49174700844517399</v>
      </c>
      <c r="O51">
        <v>75.984587514196903</v>
      </c>
      <c r="P51">
        <v>75.967285231109102</v>
      </c>
      <c r="Q51">
        <v>27.3671431834324</v>
      </c>
      <c r="R51">
        <v>82348669</v>
      </c>
      <c r="S51">
        <v>8.1048533155574295E-3</v>
      </c>
      <c r="T51">
        <v>38.613999999999997</v>
      </c>
      <c r="U51">
        <v>8.6300000000000008</v>
      </c>
      <c r="V51">
        <v>82.524445</v>
      </c>
      <c r="W51">
        <v>0.76074640000000004</v>
      </c>
      <c r="X51">
        <v>75.736249999999998</v>
      </c>
      <c r="Y51">
        <v>84.165199999999999</v>
      </c>
      <c r="Z51">
        <v>67.9464111328125</v>
      </c>
      <c r="AA51">
        <v>2018</v>
      </c>
      <c r="AB51">
        <v>2019</v>
      </c>
      <c r="AC51">
        <v>0</v>
      </c>
      <c r="AD51">
        <v>0</v>
      </c>
      <c r="AE51">
        <v>1</v>
      </c>
      <c r="AF51">
        <v>1</v>
      </c>
      <c r="AJ51">
        <v>1.5833015441894529</v>
      </c>
      <c r="AK51">
        <v>1.806553959846497</v>
      </c>
      <c r="AL51">
        <v>8.6314550000000004E-2</v>
      </c>
      <c r="AM51">
        <f>VLOOKUP(D51,[1]Sheet1!$C$1:$D$191,2,FALSE)</f>
        <v>6</v>
      </c>
    </row>
    <row r="52" spans="1:39" x14ac:dyDescent="0.35">
      <c r="A52">
        <v>2017</v>
      </c>
      <c r="B52" t="s">
        <v>10</v>
      </c>
      <c r="C52">
        <v>6</v>
      </c>
      <c r="D52" t="s">
        <v>215</v>
      </c>
      <c r="E52">
        <v>216139155.56841099</v>
      </c>
      <c r="F52">
        <v>454238432.37368703</v>
      </c>
      <c r="G52">
        <v>672751878.90392792</v>
      </c>
      <c r="H52">
        <v>3597248136065.7402</v>
      </c>
      <c r="I52">
        <v>3763092263752.9502</v>
      </c>
      <c r="J52">
        <v>2.716024519316125E-2</v>
      </c>
      <c r="K52">
        <v>43520.186421299601</v>
      </c>
      <c r="L52">
        <v>2.3328659335723572E-2</v>
      </c>
      <c r="M52">
        <v>42528.063710782801</v>
      </c>
      <c r="N52">
        <v>1.50949485109628</v>
      </c>
      <c r="O52">
        <v>77.566636946843502</v>
      </c>
      <c r="P52">
        <v>76.104751869496994</v>
      </c>
      <c r="Q52">
        <v>27.539198645496501</v>
      </c>
      <c r="R52">
        <v>82657002</v>
      </c>
      <c r="S52">
        <v>3.7442378091138303E-3</v>
      </c>
      <c r="T52">
        <v>39.606000000000002</v>
      </c>
      <c r="U52">
        <v>8.61</v>
      </c>
      <c r="V52">
        <v>81.225549999999998</v>
      </c>
      <c r="W52">
        <v>0.81807640000000004</v>
      </c>
      <c r="X52">
        <v>70.550820000000002</v>
      </c>
      <c r="Y52">
        <v>84.394199999999998</v>
      </c>
      <c r="Z52">
        <v>68.469230651855497</v>
      </c>
      <c r="AA52">
        <v>2018</v>
      </c>
      <c r="AB52">
        <v>2019</v>
      </c>
      <c r="AC52">
        <v>0</v>
      </c>
      <c r="AD52">
        <v>0</v>
      </c>
      <c r="AE52">
        <v>1</v>
      </c>
      <c r="AF52">
        <v>1</v>
      </c>
      <c r="AJ52">
        <v>1.5740704536437991</v>
      </c>
      <c r="AK52">
        <v>1.7752634286880491</v>
      </c>
      <c r="AL52">
        <v>8.7297774999999994E-2</v>
      </c>
      <c r="AM52">
        <f>VLOOKUP(D52,[1]Sheet1!$C$1:$D$191,2,FALSE)</f>
        <v>6</v>
      </c>
    </row>
    <row r="53" spans="1:39" x14ac:dyDescent="0.35">
      <c r="A53">
        <v>2018</v>
      </c>
      <c r="B53" t="s">
        <v>10</v>
      </c>
      <c r="C53">
        <v>6</v>
      </c>
      <c r="D53" t="s">
        <v>215</v>
      </c>
      <c r="E53">
        <v>393637701.24252361</v>
      </c>
      <c r="F53">
        <v>882563779.55540001</v>
      </c>
      <c r="G53">
        <v>1276201480.7979238</v>
      </c>
      <c r="H53">
        <v>3637409365003.9102</v>
      </c>
      <c r="I53">
        <v>4052008447223.5298</v>
      </c>
      <c r="J53">
        <v>1.1164431092622289E-2</v>
      </c>
      <c r="K53">
        <v>43874.013093609203</v>
      </c>
      <c r="L53">
        <v>8.1301736367662414E-3</v>
      </c>
      <c r="M53">
        <v>43520.186421299601</v>
      </c>
      <c r="N53">
        <v>1.73216879766942</v>
      </c>
      <c r="O53">
        <v>79.227659692288</v>
      </c>
      <c r="P53">
        <v>76.683599863601799</v>
      </c>
      <c r="Q53">
        <v>27.387624485227899</v>
      </c>
      <c r="R53">
        <v>82905782</v>
      </c>
      <c r="S53">
        <v>3.0097873619950553E-3</v>
      </c>
      <c r="T53">
        <v>39.9</v>
      </c>
      <c r="U53">
        <v>8.68</v>
      </c>
      <c r="V53">
        <v>0</v>
      </c>
      <c r="W53">
        <v>0.75140419999999997</v>
      </c>
      <c r="X53">
        <v>70.307779999999994</v>
      </c>
      <c r="Y53">
        <v>87.037099999999995</v>
      </c>
      <c r="Z53">
        <v>69.163429260253906</v>
      </c>
      <c r="AA53">
        <v>2018</v>
      </c>
      <c r="AB53">
        <v>2019</v>
      </c>
      <c r="AC53">
        <v>1</v>
      </c>
      <c r="AD53">
        <v>0</v>
      </c>
      <c r="AE53">
        <v>1</v>
      </c>
      <c r="AF53">
        <v>1</v>
      </c>
      <c r="AG53">
        <v>0</v>
      </c>
      <c r="AJ53">
        <v>1.591375350952148</v>
      </c>
      <c r="AK53">
        <v>1.7563267946243291</v>
      </c>
      <c r="AL53">
        <v>0.117217275</v>
      </c>
      <c r="AM53">
        <f>VLOOKUP(D53,[1]Sheet1!$C$1:$D$191,2,FALSE)</f>
        <v>6</v>
      </c>
    </row>
    <row r="54" spans="1:39" x14ac:dyDescent="0.35">
      <c r="A54">
        <v>2019</v>
      </c>
      <c r="B54" t="s">
        <v>10</v>
      </c>
      <c r="C54">
        <v>6</v>
      </c>
      <c r="D54" t="s">
        <v>215</v>
      </c>
      <c r="E54">
        <v>463302618.68259788</v>
      </c>
      <c r="F54">
        <v>953456631.76627874</v>
      </c>
      <c r="G54">
        <v>1416759250.4488766</v>
      </c>
      <c r="H54">
        <v>3673343090202.7798</v>
      </c>
      <c r="I54">
        <v>3957208055215.6802</v>
      </c>
      <c r="J54">
        <v>9.878933491675056E-3</v>
      </c>
      <c r="K54">
        <v>44207.632051951397</v>
      </c>
      <c r="L54">
        <v>7.6040219441606185E-3</v>
      </c>
      <c r="M54">
        <v>43874.013093609203</v>
      </c>
      <c r="N54">
        <v>1.4456597688825299</v>
      </c>
      <c r="O54">
        <v>79.133747114470594</v>
      </c>
      <c r="P54">
        <v>78.018631466980494</v>
      </c>
      <c r="Q54">
        <v>27.899362920382</v>
      </c>
      <c r="R54">
        <v>83092962</v>
      </c>
      <c r="S54">
        <v>2.2577436155176728E-3</v>
      </c>
      <c r="T54">
        <v>40.901000000000003</v>
      </c>
      <c r="U54">
        <v>8.68</v>
      </c>
      <c r="V54">
        <v>81.483742000000007</v>
      </c>
      <c r="W54">
        <v>0.94186110000000001</v>
      </c>
      <c r="X54">
        <v>67.587620000000001</v>
      </c>
      <c r="Y54">
        <v>88.134500000000003</v>
      </c>
      <c r="Z54">
        <v>72.705078125</v>
      </c>
      <c r="AA54">
        <v>2018</v>
      </c>
      <c r="AB54">
        <v>2019</v>
      </c>
      <c r="AC54">
        <v>1</v>
      </c>
      <c r="AD54">
        <v>1</v>
      </c>
      <c r="AE54">
        <v>1</v>
      </c>
      <c r="AF54">
        <v>1</v>
      </c>
      <c r="AG54">
        <v>1</v>
      </c>
      <c r="AH54">
        <v>0</v>
      </c>
      <c r="AJ54">
        <v>1.581319332122803</v>
      </c>
      <c r="AK54">
        <v>1.714938879013062</v>
      </c>
      <c r="AL54">
        <v>0.19591144999999999</v>
      </c>
      <c r="AM54">
        <f>VLOOKUP(D54,[1]Sheet1!$C$1:$D$191,2,FALSE)</f>
        <v>6</v>
      </c>
    </row>
    <row r="55" spans="1:39" x14ac:dyDescent="0.35">
      <c r="A55">
        <v>2020</v>
      </c>
      <c r="B55" t="s">
        <v>10</v>
      </c>
      <c r="C55">
        <v>6</v>
      </c>
      <c r="D55" t="s">
        <v>215</v>
      </c>
      <c r="E55">
        <v>498189674.03184807</v>
      </c>
      <c r="F55">
        <v>1031193556.883387</v>
      </c>
      <c r="G55">
        <v>1529383230.9152346</v>
      </c>
      <c r="H55">
        <v>3522914640155.7998</v>
      </c>
      <c r="I55">
        <v>3940142541354.1001</v>
      </c>
      <c r="J55">
        <v>-4.0951374906468614E-2</v>
      </c>
      <c r="K55">
        <v>42362.647213685297</v>
      </c>
      <c r="L55">
        <v>-4.1734532084820399E-2</v>
      </c>
      <c r="M55">
        <v>44207.632051951397</v>
      </c>
      <c r="N55">
        <v>0.14487792581398201</v>
      </c>
      <c r="O55">
        <v>72.993257228332396</v>
      </c>
      <c r="P55">
        <v>83.836103686782906</v>
      </c>
      <c r="Q55">
        <v>32.160846701955599</v>
      </c>
      <c r="R55">
        <v>83160871</v>
      </c>
      <c r="S55">
        <v>8.1726536598851777E-4</v>
      </c>
      <c r="T55">
        <v>41.41</v>
      </c>
      <c r="U55">
        <v>8.67</v>
      </c>
      <c r="V55">
        <v>79.474224000000007</v>
      </c>
      <c r="W55">
        <v>1.0129300000000001</v>
      </c>
      <c r="X55">
        <v>79.083950000000002</v>
      </c>
      <c r="Y55">
        <v>89.812899999999999</v>
      </c>
      <c r="Z55">
        <v>72.389419555664105</v>
      </c>
      <c r="AA55">
        <v>2018</v>
      </c>
      <c r="AB55">
        <v>2019</v>
      </c>
      <c r="AC55">
        <v>1</v>
      </c>
      <c r="AD55">
        <v>1</v>
      </c>
      <c r="AE55">
        <v>1</v>
      </c>
      <c r="AF55">
        <v>1</v>
      </c>
      <c r="AG55">
        <v>2</v>
      </c>
      <c r="AH55">
        <v>1</v>
      </c>
      <c r="AJ55">
        <v>1.5201277732849121</v>
      </c>
      <c r="AK55">
        <v>1.577934741973877</v>
      </c>
      <c r="AL55">
        <v>0.1554653</v>
      </c>
      <c r="AM55">
        <f>VLOOKUP(D55,[1]Sheet1!$C$1:$D$191,2,FALSE)</f>
        <v>6</v>
      </c>
    </row>
    <row r="56" spans="1:39" x14ac:dyDescent="0.35">
      <c r="A56">
        <v>2012</v>
      </c>
      <c r="B56" t="s">
        <v>11</v>
      </c>
      <c r="C56">
        <v>7</v>
      </c>
      <c r="D56" t="s">
        <v>216</v>
      </c>
      <c r="E56">
        <v>7834.5804690000004</v>
      </c>
      <c r="G56">
        <v>7834.5804690000004</v>
      </c>
      <c r="H56">
        <v>15776524980.7745</v>
      </c>
      <c r="I56">
        <v>14751508133.5443</v>
      </c>
      <c r="J56">
        <v>1.0636366074375661E-2</v>
      </c>
      <c r="K56">
        <v>49191.574417162003</v>
      </c>
      <c r="L56">
        <v>5.2730443347100558E-3</v>
      </c>
      <c r="M56">
        <v>48933.545661434699</v>
      </c>
      <c r="N56">
        <v>5.1858998875069799</v>
      </c>
      <c r="O56">
        <v>104.085475471704</v>
      </c>
      <c r="P56">
        <v>117.836193666554</v>
      </c>
      <c r="Q56">
        <v>37.0690714217926</v>
      </c>
      <c r="R56">
        <v>320716</v>
      </c>
      <c r="S56">
        <v>5.3351890512642079E-3</v>
      </c>
      <c r="T56">
        <v>70.957999999999998</v>
      </c>
      <c r="U56">
        <v>9.65</v>
      </c>
      <c r="V56">
        <v>73.871494999999996</v>
      </c>
      <c r="W56">
        <v>3.9041299999999999</v>
      </c>
      <c r="X56">
        <v>99.230670000000003</v>
      </c>
      <c r="Y56">
        <v>96.209800000000001</v>
      </c>
      <c r="Z56">
        <v>79.582481384277301</v>
      </c>
      <c r="AA56">
        <v>2018</v>
      </c>
      <c r="AC56">
        <v>0</v>
      </c>
      <c r="AF56">
        <v>1</v>
      </c>
      <c r="AJ56">
        <v>1.6779733896255491</v>
      </c>
      <c r="AK56">
        <v>1.1131241321563721</v>
      </c>
      <c r="AM56">
        <f>VLOOKUP(D56,[1]Sheet1!$C$1:$D$191,2,FALSE)</f>
        <v>7</v>
      </c>
    </row>
    <row r="57" spans="1:39" x14ac:dyDescent="0.35">
      <c r="A57">
        <v>2013</v>
      </c>
      <c r="B57" t="s">
        <v>11</v>
      </c>
      <c r="C57">
        <v>7</v>
      </c>
      <c r="D57" t="s">
        <v>216</v>
      </c>
      <c r="E57">
        <v>138102.62984099999</v>
      </c>
      <c r="G57">
        <v>138102.62984099999</v>
      </c>
      <c r="H57">
        <v>16494745020.423</v>
      </c>
      <c r="I57">
        <v>16125060515.311701</v>
      </c>
      <c r="J57">
        <v>4.5524603201511978E-2</v>
      </c>
      <c r="K57">
        <v>50946.816262533903</v>
      </c>
      <c r="L57">
        <v>3.5681757824761344E-2</v>
      </c>
      <c r="M57">
        <v>49191.574417162003</v>
      </c>
      <c r="N57">
        <v>3.8722792374824899</v>
      </c>
      <c r="O57">
        <v>98.7895236023721</v>
      </c>
      <c r="P57">
        <v>107.175296059148</v>
      </c>
      <c r="Q57">
        <v>34.659803525833901</v>
      </c>
      <c r="R57">
        <v>323764</v>
      </c>
      <c r="S57">
        <v>9.5037353920602655E-3</v>
      </c>
      <c r="T57">
        <v>72.182000000000002</v>
      </c>
      <c r="U57">
        <v>9.65</v>
      </c>
      <c r="V57">
        <v>76.180999999999997</v>
      </c>
      <c r="W57">
        <v>3.340179</v>
      </c>
      <c r="X57">
        <v>99.093350000000001</v>
      </c>
      <c r="Y57">
        <v>96.546800000000005</v>
      </c>
      <c r="Z57">
        <v>78.372390747070298</v>
      </c>
      <c r="AA57">
        <v>2018</v>
      </c>
      <c r="AC57">
        <v>0</v>
      </c>
      <c r="AF57">
        <v>1</v>
      </c>
      <c r="AJ57">
        <v>1.653862357139587</v>
      </c>
      <c r="AK57">
        <v>1.1329407691955571</v>
      </c>
      <c r="AM57">
        <f>VLOOKUP(D57,[1]Sheet1!$C$1:$D$191,2,FALSE)</f>
        <v>7</v>
      </c>
    </row>
    <row r="58" spans="1:39" x14ac:dyDescent="0.35">
      <c r="A58">
        <v>2014</v>
      </c>
      <c r="B58" t="s">
        <v>11</v>
      </c>
      <c r="C58">
        <v>7</v>
      </c>
      <c r="D58" t="s">
        <v>216</v>
      </c>
      <c r="E58">
        <v>366886.84480000002</v>
      </c>
      <c r="G58">
        <v>366886.84480000002</v>
      </c>
      <c r="H58">
        <v>16773046835.507</v>
      </c>
      <c r="I58">
        <v>17867662177.891102</v>
      </c>
      <c r="J58">
        <v>1.687215017506604E-2</v>
      </c>
      <c r="K58">
        <v>51233.244046804102</v>
      </c>
      <c r="L58">
        <v>5.6220938869704683E-3</v>
      </c>
      <c r="M58">
        <v>50946.816262533903</v>
      </c>
      <c r="N58">
        <v>2.0446148153933299</v>
      </c>
      <c r="O58">
        <v>96.665591888701897</v>
      </c>
      <c r="P58">
        <v>94.234871975195901</v>
      </c>
      <c r="Q58">
        <v>34.334243557637102</v>
      </c>
      <c r="R58">
        <v>327386</v>
      </c>
      <c r="S58">
        <v>1.1187161018519663E-2</v>
      </c>
      <c r="T58">
        <v>72.772000000000006</v>
      </c>
      <c r="U58">
        <v>9.58</v>
      </c>
      <c r="V58">
        <v>78.686359999999993</v>
      </c>
      <c r="W58">
        <v>2.7738390000000002</v>
      </c>
      <c r="X58">
        <v>100</v>
      </c>
      <c r="Y58">
        <v>98.158000000000001</v>
      </c>
      <c r="Z58">
        <v>80.395088195800795</v>
      </c>
      <c r="AA58">
        <v>2018</v>
      </c>
      <c r="AC58">
        <v>0</v>
      </c>
      <c r="AF58">
        <v>1</v>
      </c>
      <c r="AJ58">
        <v>1.704481244087219</v>
      </c>
      <c r="AK58">
        <v>1.2128943204879761</v>
      </c>
      <c r="AM58">
        <f>VLOOKUP(D58,[1]Sheet1!$C$1:$D$191,2,FALSE)</f>
        <v>7</v>
      </c>
    </row>
    <row r="59" spans="1:39" x14ac:dyDescent="0.35">
      <c r="A59">
        <v>2015</v>
      </c>
      <c r="B59" t="s">
        <v>11</v>
      </c>
      <c r="C59">
        <v>7</v>
      </c>
      <c r="D59" t="s">
        <v>216</v>
      </c>
      <c r="E59">
        <v>941789.07313199877</v>
      </c>
      <c r="G59">
        <v>941789.07313199877</v>
      </c>
      <c r="H59">
        <v>17517210519.091202</v>
      </c>
      <c r="I59">
        <v>17517210519.091202</v>
      </c>
      <c r="J59">
        <v>4.4366637193719367E-2</v>
      </c>
      <c r="K59">
        <v>52951.681511089802</v>
      </c>
      <c r="L59">
        <v>3.3541453332836438E-2</v>
      </c>
      <c r="M59">
        <v>51233.244046804102</v>
      </c>
      <c r="N59">
        <v>1.6330555818132599</v>
      </c>
      <c r="O59">
        <v>95.818207908645803</v>
      </c>
      <c r="P59">
        <v>87.233694506941603</v>
      </c>
      <c r="Q59">
        <v>32.210644692569403</v>
      </c>
      <c r="R59">
        <v>330815</v>
      </c>
      <c r="S59">
        <v>1.0473874875529192E-2</v>
      </c>
      <c r="T59">
        <v>73.400999999999996</v>
      </c>
      <c r="U59">
        <v>9.58</v>
      </c>
      <c r="V59">
        <v>73.591611999999998</v>
      </c>
      <c r="W59">
        <v>3.1887219999999998</v>
      </c>
      <c r="X59">
        <v>92.849850000000004</v>
      </c>
      <c r="Y59">
        <v>98.2</v>
      </c>
      <c r="Z59">
        <v>75.641998291015597</v>
      </c>
      <c r="AA59">
        <v>2018</v>
      </c>
      <c r="AC59">
        <v>0</v>
      </c>
      <c r="AF59">
        <v>1</v>
      </c>
      <c r="AJ59">
        <v>1.6335675716400151</v>
      </c>
      <c r="AK59">
        <v>1.260977149009705</v>
      </c>
      <c r="AM59">
        <f>VLOOKUP(D59,[1]Sheet1!$C$1:$D$191,2,FALSE)</f>
        <v>7</v>
      </c>
    </row>
    <row r="60" spans="1:39" x14ac:dyDescent="0.35">
      <c r="A60">
        <v>2016</v>
      </c>
      <c r="B60" t="s">
        <v>11</v>
      </c>
      <c r="C60">
        <v>7</v>
      </c>
      <c r="D60" t="s">
        <v>216</v>
      </c>
      <c r="E60">
        <v>1112205.962920673</v>
      </c>
      <c r="G60">
        <v>1112205.9629206727</v>
      </c>
      <c r="H60">
        <v>18621440660.0019</v>
      </c>
      <c r="I60">
        <v>20793168030.9524</v>
      </c>
      <c r="J60">
        <v>6.3036871065016223E-2</v>
      </c>
      <c r="K60">
        <v>55513.6423015865</v>
      </c>
      <c r="L60">
        <v>4.8382992142754523E-2</v>
      </c>
      <c r="M60">
        <v>52951.681511089802</v>
      </c>
      <c r="N60">
        <v>1.6969276199775101</v>
      </c>
      <c r="O60">
        <v>88.333023635341306</v>
      </c>
      <c r="P60">
        <v>84.1890741368411</v>
      </c>
      <c r="Q60">
        <v>35.488756585446403</v>
      </c>
      <c r="R60">
        <v>335439</v>
      </c>
      <c r="S60">
        <v>1.397760077384641E-2</v>
      </c>
      <c r="T60">
        <v>74.483999999999995</v>
      </c>
      <c r="U60">
        <v>9.5</v>
      </c>
      <c r="V60">
        <v>88.850064000000003</v>
      </c>
      <c r="W60">
        <v>3.6941959999999998</v>
      </c>
      <c r="X60">
        <v>98.82199</v>
      </c>
      <c r="Y60">
        <v>98.24</v>
      </c>
      <c r="Z60">
        <v>74.700630187988295</v>
      </c>
      <c r="AA60">
        <v>2018</v>
      </c>
      <c r="AC60">
        <v>0</v>
      </c>
      <c r="AF60">
        <v>1</v>
      </c>
      <c r="AJ60">
        <v>1.4831502437591551</v>
      </c>
      <c r="AK60">
        <v>1.265838503837585</v>
      </c>
      <c r="AM60">
        <f>VLOOKUP(D60,[1]Sheet1!$C$1:$D$191,2,FALSE)</f>
        <v>7</v>
      </c>
    </row>
    <row r="61" spans="1:39" x14ac:dyDescent="0.35">
      <c r="A61">
        <v>2017</v>
      </c>
      <c r="B61" t="s">
        <v>11</v>
      </c>
      <c r="C61">
        <v>7</v>
      </c>
      <c r="D61" t="s">
        <v>216</v>
      </c>
      <c r="E61">
        <v>654112.13513713109</v>
      </c>
      <c r="G61">
        <v>654112.13513713109</v>
      </c>
      <c r="H61">
        <v>19402600566.927101</v>
      </c>
      <c r="I61">
        <v>24728285177.4603</v>
      </c>
      <c r="J61">
        <v>4.1949488290833545E-2</v>
      </c>
      <c r="K61">
        <v>56501.457678879298</v>
      </c>
      <c r="L61">
        <v>1.7794101347671214E-2</v>
      </c>
      <c r="M61">
        <v>55513.6423015865</v>
      </c>
      <c r="N61">
        <v>1.7604155918059601</v>
      </c>
      <c r="O61">
        <v>86.978946975909295</v>
      </c>
      <c r="P61">
        <v>86.824706156262806</v>
      </c>
      <c r="Q61">
        <v>31.450254662490899</v>
      </c>
      <c r="R61">
        <v>343400</v>
      </c>
      <c r="S61">
        <v>2.3733078145355788E-2</v>
      </c>
      <c r="T61">
        <v>71.584999999999994</v>
      </c>
      <c r="U61">
        <v>9.58</v>
      </c>
      <c r="V61">
        <v>88.806067999999996</v>
      </c>
      <c r="W61">
        <v>3.5696270000000001</v>
      </c>
      <c r="X61">
        <v>99.07123</v>
      </c>
      <c r="Y61">
        <v>98.255200000000002</v>
      </c>
      <c r="Z61">
        <v>71.337249755859403</v>
      </c>
      <c r="AA61">
        <v>2018</v>
      </c>
      <c r="AC61">
        <v>0</v>
      </c>
      <c r="AF61">
        <v>1</v>
      </c>
      <c r="AJ61">
        <v>1.571022748947144</v>
      </c>
      <c r="AK61">
        <v>1.4231446981430049</v>
      </c>
      <c r="AM61">
        <f>VLOOKUP(D61,[1]Sheet1!$C$1:$D$191,2,FALSE)</f>
        <v>7</v>
      </c>
    </row>
    <row r="62" spans="1:39" x14ac:dyDescent="0.35">
      <c r="A62">
        <v>2018</v>
      </c>
      <c r="B62" t="s">
        <v>11</v>
      </c>
      <c r="C62">
        <v>7</v>
      </c>
      <c r="D62" t="s">
        <v>216</v>
      </c>
      <c r="E62">
        <v>564412.64532100002</v>
      </c>
      <c r="G62">
        <v>564412.64532100002</v>
      </c>
      <c r="H62">
        <v>20351227274.146999</v>
      </c>
      <c r="I62">
        <v>26260850582.068699</v>
      </c>
      <c r="J62">
        <v>4.8891729948659021E-2</v>
      </c>
      <c r="K62">
        <v>57697.804423742702</v>
      </c>
      <c r="L62">
        <v>2.1173732395768044E-2</v>
      </c>
      <c r="M62">
        <v>56501.457678879298</v>
      </c>
      <c r="N62">
        <v>2.6829176826739198</v>
      </c>
      <c r="O62">
        <v>88.636906964352093</v>
      </c>
      <c r="P62">
        <v>90.912560526500101</v>
      </c>
      <c r="Q62">
        <v>30.864744351571002</v>
      </c>
      <c r="R62">
        <v>352721</v>
      </c>
      <c r="S62">
        <v>2.7143273150844496E-2</v>
      </c>
      <c r="T62">
        <v>70.772999999999996</v>
      </c>
      <c r="U62">
        <v>9.58</v>
      </c>
      <c r="V62">
        <v>86.289821000000003</v>
      </c>
      <c r="W62">
        <v>3.175475</v>
      </c>
      <c r="X62">
        <v>99.22072</v>
      </c>
      <c r="Y62">
        <v>99.010999999999996</v>
      </c>
      <c r="Z62">
        <v>69.340232849121094</v>
      </c>
      <c r="AA62">
        <v>2018</v>
      </c>
      <c r="AC62">
        <v>1</v>
      </c>
      <c r="AF62">
        <v>1</v>
      </c>
      <c r="AG62">
        <v>0</v>
      </c>
      <c r="AJ62">
        <v>1.6792513132095339</v>
      </c>
      <c r="AK62">
        <v>1.4082456827163701</v>
      </c>
      <c r="AM62">
        <f>VLOOKUP(D62,[1]Sheet1!$C$1:$D$191,2,FALSE)</f>
        <v>7</v>
      </c>
    </row>
    <row r="63" spans="1:39" x14ac:dyDescent="0.35">
      <c r="A63">
        <v>2019</v>
      </c>
      <c r="B63" t="s">
        <v>11</v>
      </c>
      <c r="C63">
        <v>7</v>
      </c>
      <c r="D63" t="s">
        <v>216</v>
      </c>
      <c r="E63">
        <v>728697.04332160007</v>
      </c>
      <c r="G63">
        <v>728697.04332160007</v>
      </c>
      <c r="H63">
        <v>20729999827.290699</v>
      </c>
      <c r="I63">
        <v>24681343649.2952</v>
      </c>
      <c r="J63">
        <v>1.8611779429384585E-2</v>
      </c>
      <c r="K63">
        <v>57493.419533592503</v>
      </c>
      <c r="L63">
        <v>-3.5423339274604044E-3</v>
      </c>
      <c r="M63">
        <v>57697.804423742702</v>
      </c>
      <c r="N63">
        <v>3.0139717915605302</v>
      </c>
      <c r="O63">
        <v>82.862745781388199</v>
      </c>
      <c r="P63">
        <v>88.793117875483702</v>
      </c>
      <c r="Q63">
        <v>31.0706971338718</v>
      </c>
      <c r="R63">
        <v>360563</v>
      </c>
      <c r="S63">
        <v>2.2232869605155348E-2</v>
      </c>
      <c r="T63">
        <v>68.861000000000004</v>
      </c>
      <c r="U63">
        <v>9.58</v>
      </c>
      <c r="V63">
        <v>78.005543000000003</v>
      </c>
      <c r="W63">
        <v>3.1357339999999998</v>
      </c>
      <c r="X63">
        <v>99.40701</v>
      </c>
      <c r="Y63">
        <v>99.504900000000006</v>
      </c>
      <c r="Z63">
        <v>70.609352111816406</v>
      </c>
      <c r="AA63">
        <v>2018</v>
      </c>
      <c r="AC63">
        <v>1</v>
      </c>
      <c r="AF63">
        <v>1</v>
      </c>
      <c r="AG63">
        <v>1</v>
      </c>
      <c r="AJ63">
        <v>1.726326107978821</v>
      </c>
      <c r="AK63">
        <v>1.362990021705627</v>
      </c>
      <c r="AM63">
        <f>VLOOKUP(D63,[1]Sheet1!$C$1:$D$191,2,FALSE)</f>
        <v>7</v>
      </c>
    </row>
    <row r="64" spans="1:39" x14ac:dyDescent="0.35">
      <c r="A64">
        <v>2020</v>
      </c>
      <c r="B64" t="s">
        <v>11</v>
      </c>
      <c r="C64">
        <v>7</v>
      </c>
      <c r="D64" t="s">
        <v>216</v>
      </c>
      <c r="E64">
        <v>158921.8300775</v>
      </c>
      <c r="G64">
        <v>158921.8300775</v>
      </c>
      <c r="H64">
        <v>19291243912.706799</v>
      </c>
      <c r="I64">
        <v>21629953194.065899</v>
      </c>
      <c r="J64">
        <v>-6.9404530948900547E-2</v>
      </c>
      <c r="K64">
        <v>52641.723482880298</v>
      </c>
      <c r="L64">
        <v>-8.4386980111305368E-2</v>
      </c>
      <c r="M64">
        <v>57493.419533592503</v>
      </c>
      <c r="N64">
        <v>2.8479240151866501</v>
      </c>
      <c r="O64">
        <v>67.975075625674407</v>
      </c>
      <c r="P64">
        <v>100.25056156185801</v>
      </c>
      <c r="Q64">
        <v>37.034097412295097</v>
      </c>
      <c r="R64">
        <v>366463</v>
      </c>
      <c r="S64">
        <v>1.6363298508166396E-2</v>
      </c>
      <c r="T64">
        <v>66.260000000000005</v>
      </c>
      <c r="U64">
        <v>9.3699999999999992</v>
      </c>
      <c r="V64">
        <v>59.610500000000002</v>
      </c>
      <c r="W64">
        <v>2.8224740000000001</v>
      </c>
      <c r="X64">
        <v>100</v>
      </c>
      <c r="Y64">
        <v>99.532799999999995</v>
      </c>
      <c r="Z64">
        <v>74.590606689453097</v>
      </c>
      <c r="AA64">
        <v>2018</v>
      </c>
      <c r="AC64">
        <v>1</v>
      </c>
      <c r="AF64">
        <v>1</v>
      </c>
      <c r="AG64">
        <v>2</v>
      </c>
      <c r="AJ64">
        <v>1.7502216100692749</v>
      </c>
      <c r="AK64">
        <v>1.443012118339539</v>
      </c>
      <c r="AM64">
        <f>VLOOKUP(D64,[1]Sheet1!$C$1:$D$191,2,FALSE)</f>
        <v>7</v>
      </c>
    </row>
    <row r="65" spans="1:39" x14ac:dyDescent="0.35">
      <c r="A65">
        <v>2012</v>
      </c>
      <c r="B65" t="s">
        <v>12</v>
      </c>
      <c r="C65">
        <v>8</v>
      </c>
      <c r="D65" t="s">
        <v>217</v>
      </c>
      <c r="E65">
        <v>9102198.3587219995</v>
      </c>
      <c r="F65">
        <v>30345658.800000001</v>
      </c>
      <c r="G65">
        <v>39589298.788722001</v>
      </c>
      <c r="H65">
        <v>747805360729.23401</v>
      </c>
      <c r="I65">
        <v>845689017065.625</v>
      </c>
      <c r="J65">
        <v>-9.7787700851388708E-3</v>
      </c>
      <c r="K65">
        <v>44631.874469738199</v>
      </c>
      <c r="L65">
        <v>-1.3436361876571433E-2</v>
      </c>
      <c r="M65">
        <v>45239.731878456201</v>
      </c>
      <c r="N65">
        <v>2.45554765291604</v>
      </c>
      <c r="O65">
        <v>149.39322305813101</v>
      </c>
      <c r="P65">
        <v>116.01395860426101</v>
      </c>
      <c r="Q65">
        <v>41.237436040787998</v>
      </c>
      <c r="R65">
        <v>16754962</v>
      </c>
      <c r="S65">
        <v>3.7074058378942067E-3</v>
      </c>
      <c r="T65">
        <v>48.311</v>
      </c>
      <c r="U65">
        <v>8.99</v>
      </c>
      <c r="V65">
        <v>54.556202999999996</v>
      </c>
      <c r="W65">
        <v>1.1583589999999999</v>
      </c>
      <c r="X65">
        <v>84.418949999999995</v>
      </c>
      <c r="Y65">
        <v>92.86</v>
      </c>
      <c r="Z65">
        <v>75.814163208007798</v>
      </c>
      <c r="AA65">
        <v>2018</v>
      </c>
      <c r="AB65">
        <v>2019</v>
      </c>
      <c r="AC65">
        <v>0</v>
      </c>
      <c r="AD65">
        <v>0</v>
      </c>
      <c r="AE65">
        <v>1</v>
      </c>
      <c r="AF65">
        <v>1</v>
      </c>
      <c r="AJ65">
        <v>1.8526817560195921</v>
      </c>
      <c r="AK65">
        <v>1.745505094528198</v>
      </c>
      <c r="AL65">
        <v>7.3864600000000002E-2</v>
      </c>
      <c r="AM65">
        <f>VLOOKUP(D65,[1]Sheet1!$C$1:$D$191,2,FALSE)</f>
        <v>8</v>
      </c>
    </row>
    <row r="66" spans="1:39" x14ac:dyDescent="0.35">
      <c r="A66">
        <v>2013</v>
      </c>
      <c r="B66" t="s">
        <v>12</v>
      </c>
      <c r="C66">
        <v>8</v>
      </c>
      <c r="D66" t="s">
        <v>217</v>
      </c>
      <c r="E66">
        <v>11278139.717901001</v>
      </c>
      <c r="F66">
        <v>46723507.859999999</v>
      </c>
      <c r="G66">
        <v>59911750.532412</v>
      </c>
      <c r="H66">
        <v>747579280835.07605</v>
      </c>
      <c r="I66">
        <v>883951539006.66895</v>
      </c>
      <c r="J66">
        <v>-3.0232451655266775E-4</v>
      </c>
      <c r="K66">
        <v>44487.030614011601</v>
      </c>
      <c r="L66">
        <v>-3.2453007508077389E-3</v>
      </c>
      <c r="M66">
        <v>44631.874469738199</v>
      </c>
      <c r="N66">
        <v>2.5068985265788499</v>
      </c>
      <c r="O66">
        <v>150.65185022694899</v>
      </c>
      <c r="P66">
        <v>112.969994005111</v>
      </c>
      <c r="Q66">
        <v>41.413411422140797</v>
      </c>
      <c r="R66">
        <v>16804432</v>
      </c>
      <c r="S66">
        <v>2.9525581735130165E-3</v>
      </c>
      <c r="T66">
        <v>47.143000000000001</v>
      </c>
      <c r="U66">
        <v>8.84</v>
      </c>
      <c r="V66">
        <v>52.985556000000003</v>
      </c>
      <c r="W66">
        <v>1.353267</v>
      </c>
      <c r="X66">
        <v>86.400769999999994</v>
      </c>
      <c r="Y66">
        <v>93.956400000000002</v>
      </c>
      <c r="AA66">
        <v>2018</v>
      </c>
      <c r="AB66">
        <v>2019</v>
      </c>
      <c r="AC66">
        <v>0</v>
      </c>
      <c r="AD66">
        <v>0</v>
      </c>
      <c r="AE66">
        <v>1</v>
      </c>
      <c r="AF66">
        <v>1</v>
      </c>
      <c r="AJ66">
        <v>1.825298428535461</v>
      </c>
      <c r="AK66">
        <v>1.760917544364929</v>
      </c>
      <c r="AL66">
        <v>6.5955650000000005E-2</v>
      </c>
      <c r="AM66">
        <f>VLOOKUP(D66,[1]Sheet1!$C$1:$D$191,2,FALSE)</f>
        <v>8</v>
      </c>
    </row>
    <row r="67" spans="1:39" x14ac:dyDescent="0.35">
      <c r="A67">
        <v>2014</v>
      </c>
      <c r="B67" t="s">
        <v>12</v>
      </c>
      <c r="C67">
        <v>8</v>
      </c>
      <c r="D67" t="s">
        <v>217</v>
      </c>
      <c r="E67">
        <v>21595122.296999998</v>
      </c>
      <c r="F67">
        <v>71474914</v>
      </c>
      <c r="G67">
        <v>98134318.259320006</v>
      </c>
      <c r="H67">
        <v>759634819632.63196</v>
      </c>
      <c r="I67">
        <v>901556501756.46704</v>
      </c>
      <c r="J67">
        <v>1.6126100744912816E-2</v>
      </c>
      <c r="K67">
        <v>45042.066960930701</v>
      </c>
      <c r="L67">
        <v>1.2476363094107835E-2</v>
      </c>
      <c r="M67">
        <v>44487.030614011601</v>
      </c>
      <c r="N67">
        <v>0.97603507969967895</v>
      </c>
      <c r="O67">
        <v>151.71589105650099</v>
      </c>
      <c r="P67">
        <v>115.205849457802</v>
      </c>
      <c r="Q67">
        <v>40.864863909039897</v>
      </c>
      <c r="R67">
        <v>16865008</v>
      </c>
      <c r="S67">
        <v>3.6047633148207567E-3</v>
      </c>
      <c r="T67">
        <v>45.988</v>
      </c>
      <c r="U67">
        <v>8.92</v>
      </c>
      <c r="V67">
        <v>53.648994999999999</v>
      </c>
      <c r="W67">
        <v>1.447282</v>
      </c>
      <c r="X67">
        <v>87.60651</v>
      </c>
      <c r="Y67">
        <v>91.666700000000006</v>
      </c>
      <c r="AA67">
        <v>2018</v>
      </c>
      <c r="AB67">
        <v>2019</v>
      </c>
      <c r="AC67">
        <v>0</v>
      </c>
      <c r="AD67">
        <v>0</v>
      </c>
      <c r="AE67">
        <v>1</v>
      </c>
      <c r="AF67">
        <v>1</v>
      </c>
      <c r="AJ67">
        <v>1.973428606987</v>
      </c>
      <c r="AK67">
        <v>1.7631253004074099</v>
      </c>
      <c r="AL67">
        <v>7.3832900000000007E-2</v>
      </c>
      <c r="AM67">
        <f>VLOOKUP(D67,[1]Sheet1!$C$1:$D$191,2,FALSE)</f>
        <v>8</v>
      </c>
    </row>
    <row r="68" spans="1:39" x14ac:dyDescent="0.35">
      <c r="A68">
        <v>2015</v>
      </c>
      <c r="B68" t="s">
        <v>12</v>
      </c>
      <c r="C68">
        <v>8</v>
      </c>
      <c r="D68" t="s">
        <v>217</v>
      </c>
      <c r="E68">
        <v>31416812.10461897</v>
      </c>
      <c r="F68">
        <v>91309630.520887852</v>
      </c>
      <c r="G68">
        <v>122726442.62550682</v>
      </c>
      <c r="H68">
        <v>775743675302.73401</v>
      </c>
      <c r="I68">
        <v>775743675302.73401</v>
      </c>
      <c r="J68">
        <v>2.1206052242171411E-2</v>
      </c>
      <c r="K68">
        <v>45793.813543469703</v>
      </c>
      <c r="L68">
        <v>1.6689877558040675E-2</v>
      </c>
      <c r="M68">
        <v>45042.066960930701</v>
      </c>
      <c r="N68">
        <v>0.60024814727877596</v>
      </c>
      <c r="O68">
        <v>160.32581256480901</v>
      </c>
      <c r="P68">
        <v>110.135230807738</v>
      </c>
      <c r="Q68">
        <v>39.654592913076101</v>
      </c>
      <c r="R68">
        <v>16939923</v>
      </c>
      <c r="S68">
        <v>4.4420376201422494E-3</v>
      </c>
      <c r="T68">
        <v>45.881999999999998</v>
      </c>
      <c r="U68">
        <v>8.92</v>
      </c>
      <c r="V68">
        <v>49.668351999999999</v>
      </c>
      <c r="W68">
        <v>1.4928410000000001</v>
      </c>
      <c r="X68">
        <v>79.661190000000005</v>
      </c>
      <c r="Y68">
        <v>91.724100000000007</v>
      </c>
      <c r="Z68">
        <v>80.160148620605497</v>
      </c>
      <c r="AA68">
        <v>2018</v>
      </c>
      <c r="AB68">
        <v>2019</v>
      </c>
      <c r="AC68">
        <v>0</v>
      </c>
      <c r="AD68">
        <v>0</v>
      </c>
      <c r="AE68">
        <v>1</v>
      </c>
      <c r="AF68">
        <v>1</v>
      </c>
      <c r="AJ68">
        <v>1.9068900346755979</v>
      </c>
      <c r="AK68">
        <v>1.787697911262512</v>
      </c>
      <c r="AL68">
        <v>7.1990075000000001E-2</v>
      </c>
      <c r="AM68">
        <f>VLOOKUP(D68,[1]Sheet1!$C$1:$D$191,2,FALSE)</f>
        <v>8</v>
      </c>
    </row>
    <row r="69" spans="1:39" x14ac:dyDescent="0.35">
      <c r="A69">
        <v>2016</v>
      </c>
      <c r="B69" t="s">
        <v>12</v>
      </c>
      <c r="C69">
        <v>8</v>
      </c>
      <c r="D69" t="s">
        <v>217</v>
      </c>
      <c r="E69">
        <v>46844049.581816882</v>
      </c>
      <c r="F69">
        <v>168057397.38677999</v>
      </c>
      <c r="G69">
        <v>214901446.96859685</v>
      </c>
      <c r="H69">
        <v>794549918798.828</v>
      </c>
      <c r="I69">
        <v>797163949289.88501</v>
      </c>
      <c r="J69">
        <v>2.4242857653663571E-2</v>
      </c>
      <c r="K69">
        <v>46655.036354516298</v>
      </c>
      <c r="L69">
        <v>1.8806531808692468E-2</v>
      </c>
      <c r="M69">
        <v>45793.813543469703</v>
      </c>
      <c r="N69">
        <v>0.31666666666674298</v>
      </c>
      <c r="O69">
        <v>150.96552921164999</v>
      </c>
      <c r="P69">
        <v>112.688166070747</v>
      </c>
      <c r="Q69">
        <v>38.413302322352202</v>
      </c>
      <c r="R69">
        <v>17030314</v>
      </c>
      <c r="S69">
        <v>5.3359746676534484E-3</v>
      </c>
      <c r="T69">
        <v>45.067999999999998</v>
      </c>
      <c r="U69">
        <v>8.8000000000000007</v>
      </c>
      <c r="V69">
        <v>47.51079</v>
      </c>
      <c r="W69">
        <v>1.3931800000000001</v>
      </c>
      <c r="X69">
        <v>86.112669999999994</v>
      </c>
      <c r="Y69">
        <v>90.411000000000001</v>
      </c>
      <c r="Z69">
        <v>79.845489501953097</v>
      </c>
      <c r="AA69">
        <v>2018</v>
      </c>
      <c r="AB69">
        <v>2019</v>
      </c>
      <c r="AC69">
        <v>0</v>
      </c>
      <c r="AD69">
        <v>0</v>
      </c>
      <c r="AE69">
        <v>1</v>
      </c>
      <c r="AF69">
        <v>1</v>
      </c>
      <c r="AJ69">
        <v>1.845648884773254</v>
      </c>
      <c r="AK69">
        <v>1.964846014976501</v>
      </c>
      <c r="AL69">
        <v>0.12585705</v>
      </c>
      <c r="AM69">
        <f>VLOOKUP(D69,[1]Sheet1!$C$1:$D$191,2,FALSE)</f>
        <v>8</v>
      </c>
    </row>
    <row r="70" spans="1:39" x14ac:dyDescent="0.35">
      <c r="A70">
        <v>2017</v>
      </c>
      <c r="B70" t="s">
        <v>12</v>
      </c>
      <c r="C70">
        <v>8</v>
      </c>
      <c r="D70" t="s">
        <v>217</v>
      </c>
      <c r="E70">
        <v>43145868.937132463</v>
      </c>
      <c r="F70">
        <v>259583062.96221</v>
      </c>
      <c r="G70">
        <v>316287611.89934248</v>
      </c>
      <c r="H70">
        <v>816650691068.16003</v>
      </c>
      <c r="I70">
        <v>848233537845.88403</v>
      </c>
      <c r="J70">
        <v>2.7815460987955527E-2</v>
      </c>
      <c r="K70">
        <v>47670.1056982589</v>
      </c>
      <c r="L70">
        <v>2.1756908215212246E-2</v>
      </c>
      <c r="M70">
        <v>46655.036354516298</v>
      </c>
      <c r="N70">
        <v>1.38145871407206</v>
      </c>
      <c r="O70">
        <v>159.646059656847</v>
      </c>
      <c r="P70">
        <v>109.26176749091999</v>
      </c>
      <c r="Q70">
        <v>37.1677314443019</v>
      </c>
      <c r="R70">
        <v>17131296</v>
      </c>
      <c r="S70">
        <v>5.9295442233184897E-3</v>
      </c>
      <c r="T70">
        <v>44.6</v>
      </c>
      <c r="U70">
        <v>8.89</v>
      </c>
      <c r="V70">
        <v>44.585431</v>
      </c>
      <c r="W70">
        <v>1.37256</v>
      </c>
      <c r="X70">
        <v>85.838729999999998</v>
      </c>
      <c r="Y70">
        <v>93.197299999999998</v>
      </c>
      <c r="Z70">
        <v>83.200988769531193</v>
      </c>
      <c r="AA70">
        <v>2018</v>
      </c>
      <c r="AB70">
        <v>2019</v>
      </c>
      <c r="AC70">
        <v>0</v>
      </c>
      <c r="AD70">
        <v>0</v>
      </c>
      <c r="AE70">
        <v>1</v>
      </c>
      <c r="AF70">
        <v>1</v>
      </c>
      <c r="AI70">
        <v>1</v>
      </c>
      <c r="AJ70">
        <v>1.75830602645874</v>
      </c>
      <c r="AK70">
        <v>2.0404889583587651</v>
      </c>
      <c r="AL70">
        <v>0.13571839999999999</v>
      </c>
      <c r="AM70">
        <f>VLOOKUP(D70,[1]Sheet1!$C$1:$D$191,2,FALSE)</f>
        <v>8</v>
      </c>
    </row>
    <row r="71" spans="1:39" x14ac:dyDescent="0.35">
      <c r="A71">
        <v>2018</v>
      </c>
      <c r="B71" t="s">
        <v>12</v>
      </c>
      <c r="C71">
        <v>8</v>
      </c>
      <c r="D71" t="s">
        <v>217</v>
      </c>
      <c r="E71">
        <v>38417005.038392</v>
      </c>
      <c r="F71">
        <v>1767881556.196013</v>
      </c>
      <c r="G71">
        <v>1806298561.2344055</v>
      </c>
      <c r="H71">
        <v>835096710123.56799</v>
      </c>
      <c r="I71">
        <v>929733599796.86206</v>
      </c>
      <c r="J71">
        <v>2.2587403962495884E-2</v>
      </c>
      <c r="K71">
        <v>48463.029957220897</v>
      </c>
      <c r="L71">
        <v>1.663357459245067E-2</v>
      </c>
      <c r="M71">
        <v>47670.1056982589</v>
      </c>
      <c r="N71">
        <v>1.7034979474447001</v>
      </c>
      <c r="O71">
        <v>163.55914657304399</v>
      </c>
      <c r="P71">
        <v>103.70544906277701</v>
      </c>
      <c r="Q71">
        <v>37.022862463211602</v>
      </c>
      <c r="R71">
        <v>17231624</v>
      </c>
      <c r="S71">
        <v>5.8564162337747241E-3</v>
      </c>
      <c r="T71">
        <v>44.671999999999997</v>
      </c>
      <c r="U71">
        <v>8.89</v>
      </c>
      <c r="V71">
        <v>41.083494999999999</v>
      </c>
      <c r="W71">
        <v>1.3039369999999999</v>
      </c>
      <c r="X71">
        <v>85.888599999999997</v>
      </c>
      <c r="Y71">
        <v>91.891900000000007</v>
      </c>
      <c r="Z71">
        <v>83.652473449707003</v>
      </c>
      <c r="AA71">
        <v>2018</v>
      </c>
      <c r="AB71">
        <v>2019</v>
      </c>
      <c r="AC71">
        <v>1</v>
      </c>
      <c r="AD71">
        <v>0</v>
      </c>
      <c r="AE71">
        <v>1</v>
      </c>
      <c r="AF71">
        <v>1</v>
      </c>
      <c r="AG71">
        <v>0</v>
      </c>
      <c r="AI71">
        <v>1</v>
      </c>
      <c r="AJ71">
        <v>1.744465112686157</v>
      </c>
      <c r="AK71">
        <v>2.013643741607666</v>
      </c>
      <c r="AL71">
        <v>6.5917749999999997E-2</v>
      </c>
      <c r="AM71">
        <f>VLOOKUP(D71,[1]Sheet1!$C$1:$D$191,2,FALSE)</f>
        <v>8</v>
      </c>
    </row>
    <row r="72" spans="1:39" x14ac:dyDescent="0.35">
      <c r="A72">
        <v>2019</v>
      </c>
      <c r="B72" t="s">
        <v>12</v>
      </c>
      <c r="C72">
        <v>8</v>
      </c>
      <c r="D72" t="s">
        <v>217</v>
      </c>
      <c r="E72">
        <v>26501638.87346451</v>
      </c>
      <c r="F72">
        <v>2849351490.0493851</v>
      </c>
      <c r="G72">
        <v>2875853128.9228497</v>
      </c>
      <c r="H72">
        <v>854304699361.25305</v>
      </c>
      <c r="I72">
        <v>928903005576.46899</v>
      </c>
      <c r="J72">
        <v>2.3000915947618668E-2</v>
      </c>
      <c r="K72">
        <v>49254.015875886602</v>
      </c>
      <c r="L72">
        <v>1.6321429332089247E-2</v>
      </c>
      <c r="M72">
        <v>48463.029957220897</v>
      </c>
      <c r="N72">
        <v>2.6336991024960099</v>
      </c>
      <c r="O72">
        <v>160.676671884999</v>
      </c>
      <c r="P72">
        <v>98.6368462471995</v>
      </c>
      <c r="Q72">
        <v>36.679212357203902</v>
      </c>
      <c r="R72">
        <v>17344874</v>
      </c>
      <c r="S72">
        <v>6.5722186138694764E-3</v>
      </c>
      <c r="T72">
        <v>44.927999999999997</v>
      </c>
      <c r="U72">
        <v>9.01</v>
      </c>
      <c r="V72">
        <v>41.055793000000001</v>
      </c>
      <c r="W72">
        <v>0.98704910000000001</v>
      </c>
      <c r="X72">
        <v>86.140699999999995</v>
      </c>
      <c r="Y72">
        <v>93.288600000000002</v>
      </c>
      <c r="AA72">
        <v>2018</v>
      </c>
      <c r="AB72">
        <v>2019</v>
      </c>
      <c r="AC72">
        <v>1</v>
      </c>
      <c r="AD72">
        <v>1</v>
      </c>
      <c r="AE72">
        <v>1</v>
      </c>
      <c r="AF72">
        <v>1</v>
      </c>
      <c r="AG72">
        <v>1</v>
      </c>
      <c r="AH72">
        <v>0</v>
      </c>
      <c r="AI72">
        <v>1</v>
      </c>
      <c r="AJ72">
        <v>1.734739422798157</v>
      </c>
      <c r="AK72">
        <v>1.849169969558716</v>
      </c>
      <c r="AL72">
        <v>9.8930549999999992E-2</v>
      </c>
      <c r="AM72">
        <f>VLOOKUP(D72,[1]Sheet1!$C$1:$D$191,2,FALSE)</f>
        <v>8</v>
      </c>
    </row>
    <row r="73" spans="1:39" x14ac:dyDescent="0.35">
      <c r="A73">
        <v>2020</v>
      </c>
      <c r="B73" t="s">
        <v>12</v>
      </c>
      <c r="C73">
        <v>8</v>
      </c>
      <c r="D73" t="s">
        <v>217</v>
      </c>
      <c r="E73">
        <v>22969938.81222377</v>
      </c>
      <c r="F73">
        <v>535667260.29359603</v>
      </c>
      <c r="G73">
        <v>558637199.1058197</v>
      </c>
      <c r="H73">
        <v>821260591753.75</v>
      </c>
      <c r="I73">
        <v>932560861701.17004</v>
      </c>
      <c r="J73">
        <v>-3.8679533932342275E-2</v>
      </c>
      <c r="K73">
        <v>47086.580383209599</v>
      </c>
      <c r="L73">
        <v>-4.4005254274872625E-2</v>
      </c>
      <c r="M73">
        <v>49254.015875886602</v>
      </c>
      <c r="N73">
        <v>1.2724603778916099</v>
      </c>
      <c r="O73">
        <v>152.23323040970601</v>
      </c>
      <c r="P73">
        <v>100.35200615337099</v>
      </c>
      <c r="Q73">
        <v>41.896325981704003</v>
      </c>
      <c r="R73">
        <v>17441500</v>
      </c>
      <c r="S73">
        <v>5.5708677964452207E-3</v>
      </c>
      <c r="T73">
        <v>43.11</v>
      </c>
      <c r="U73">
        <v>8.9600000000000009</v>
      </c>
      <c r="V73">
        <v>36.026918999999999</v>
      </c>
      <c r="W73">
        <v>1.157743</v>
      </c>
      <c r="X73">
        <v>88.372299999999996</v>
      </c>
      <c r="Y73">
        <v>91.333299999999994</v>
      </c>
      <c r="Z73">
        <v>85.337081909179702</v>
      </c>
      <c r="AA73">
        <v>2018</v>
      </c>
      <c r="AB73">
        <v>2019</v>
      </c>
      <c r="AC73">
        <v>1</v>
      </c>
      <c r="AD73">
        <v>1</v>
      </c>
      <c r="AE73">
        <v>1</v>
      </c>
      <c r="AF73">
        <v>1</v>
      </c>
      <c r="AG73">
        <v>2</v>
      </c>
      <c r="AH73">
        <v>1</v>
      </c>
      <c r="AI73">
        <v>1</v>
      </c>
      <c r="AJ73">
        <v>1.706331133842468</v>
      </c>
      <c r="AK73">
        <v>1.748252153396606</v>
      </c>
      <c r="AL73">
        <v>0.135411225</v>
      </c>
      <c r="AM73">
        <f>VLOOKUP(D73,[1]Sheet1!$C$1:$D$191,2,FALSE)</f>
        <v>8</v>
      </c>
    </row>
    <row r="74" spans="1:39" x14ac:dyDescent="0.35">
      <c r="A74">
        <v>2012</v>
      </c>
      <c r="B74" t="s">
        <v>13</v>
      </c>
      <c r="C74">
        <v>9</v>
      </c>
      <c r="D74" t="s">
        <v>218</v>
      </c>
      <c r="E74">
        <v>12858.33</v>
      </c>
      <c r="G74">
        <v>12858.33</v>
      </c>
      <c r="H74">
        <v>369676511315.48999</v>
      </c>
      <c r="I74">
        <v>512777309840.99701</v>
      </c>
      <c r="J74">
        <v>2.717959266789809E-2</v>
      </c>
      <c r="K74">
        <v>73661.678591800897</v>
      </c>
      <c r="L74">
        <v>1.3776409008745572E-2</v>
      </c>
      <c r="M74">
        <v>72660.675408521405</v>
      </c>
      <c r="N74">
        <v>0.69686411149836203</v>
      </c>
      <c r="O74">
        <v>68.498552838976593</v>
      </c>
      <c r="P74">
        <v>122.68382163145399</v>
      </c>
      <c r="Q74">
        <v>33.728975603084301</v>
      </c>
      <c r="R74">
        <v>5018573</v>
      </c>
      <c r="S74">
        <v>1.3221045133863966E-2</v>
      </c>
      <c r="T74">
        <v>55.859000000000002</v>
      </c>
      <c r="U74">
        <v>9.93</v>
      </c>
      <c r="V74">
        <v>52.730508999999998</v>
      </c>
      <c r="W74">
        <v>1.6167130000000001</v>
      </c>
      <c r="X74">
        <v>94.864909999999995</v>
      </c>
      <c r="Y74">
        <v>94.65</v>
      </c>
      <c r="Z74">
        <v>71.704757690429702</v>
      </c>
      <c r="AA74">
        <v>2018</v>
      </c>
      <c r="AB74">
        <v>2018</v>
      </c>
      <c r="AC74">
        <v>0</v>
      </c>
      <c r="AD74">
        <v>0</v>
      </c>
      <c r="AE74">
        <v>0</v>
      </c>
      <c r="AF74">
        <v>1</v>
      </c>
      <c r="AJ74">
        <v>1.951031088829041</v>
      </c>
      <c r="AK74">
        <v>1.53973925113678</v>
      </c>
      <c r="AL74">
        <v>8.3902825E-2</v>
      </c>
      <c r="AM74">
        <f>VLOOKUP(D74,[1]Sheet1!$C$1:$D$191,2,FALSE)</f>
        <v>9</v>
      </c>
    </row>
    <row r="75" spans="1:39" x14ac:dyDescent="0.35">
      <c r="A75">
        <v>2013</v>
      </c>
      <c r="B75" t="s">
        <v>13</v>
      </c>
      <c r="C75">
        <v>9</v>
      </c>
      <c r="D75" t="s">
        <v>218</v>
      </c>
      <c r="E75">
        <v>78279.805380000005</v>
      </c>
      <c r="G75">
        <v>78279.805380000005</v>
      </c>
      <c r="H75">
        <v>373433130102.30402</v>
      </c>
      <c r="I75">
        <v>526014468085.10602</v>
      </c>
      <c r="J75">
        <v>1.0161908240927013E-2</v>
      </c>
      <c r="K75">
        <v>73515.914488595794</v>
      </c>
      <c r="L75">
        <v>-1.9788322231001666E-3</v>
      </c>
      <c r="M75">
        <v>73661.678591800897</v>
      </c>
      <c r="N75">
        <v>2.1204862035311201</v>
      </c>
      <c r="O75">
        <v>67.972792593683195</v>
      </c>
      <c r="P75">
        <v>124.210093727703</v>
      </c>
      <c r="Q75">
        <v>34.193315611414299</v>
      </c>
      <c r="R75">
        <v>5079623</v>
      </c>
      <c r="S75">
        <v>1.2164812587163721E-2</v>
      </c>
      <c r="T75">
        <v>53.984000000000002</v>
      </c>
      <c r="U75">
        <v>9.93</v>
      </c>
      <c r="V75">
        <v>50.496873999999998</v>
      </c>
      <c r="W75">
        <v>1.358201</v>
      </c>
      <c r="X75">
        <v>94.567049999999995</v>
      </c>
      <c r="Y75">
        <v>95.053399999999996</v>
      </c>
      <c r="Z75">
        <v>75.863578796386705</v>
      </c>
      <c r="AA75">
        <v>2018</v>
      </c>
      <c r="AB75">
        <v>2018</v>
      </c>
      <c r="AC75">
        <v>0</v>
      </c>
      <c r="AD75">
        <v>0</v>
      </c>
      <c r="AE75">
        <v>0</v>
      </c>
      <c r="AF75">
        <v>1</v>
      </c>
      <c r="AJ75">
        <v>1.970964312553406</v>
      </c>
      <c r="AK75">
        <v>1.6574110984802251</v>
      </c>
      <c r="AL75">
        <v>5.0671575000000003E-2</v>
      </c>
      <c r="AM75">
        <f>VLOOKUP(D75,[1]Sheet1!$C$1:$D$191,2,FALSE)</f>
        <v>9</v>
      </c>
    </row>
    <row r="76" spans="1:39" x14ac:dyDescent="0.35">
      <c r="A76">
        <v>2014</v>
      </c>
      <c r="B76" t="s">
        <v>13</v>
      </c>
      <c r="C76">
        <v>9</v>
      </c>
      <c r="D76" t="s">
        <v>218</v>
      </c>
      <c r="E76">
        <v>131790.17599999969</v>
      </c>
      <c r="G76">
        <v>131790.17599999974</v>
      </c>
      <c r="H76">
        <v>381081533533.12</v>
      </c>
      <c r="I76">
        <v>501736471832.84802</v>
      </c>
      <c r="J76">
        <v>2.0481319985510279E-2</v>
      </c>
      <c r="K76">
        <v>74180.323865676997</v>
      </c>
      <c r="L76">
        <v>9.0376265017320864E-3</v>
      </c>
      <c r="M76">
        <v>73515.914488595794</v>
      </c>
      <c r="N76">
        <v>2.04170286707211</v>
      </c>
      <c r="O76">
        <v>69.137377220903701</v>
      </c>
      <c r="P76">
        <v>128.24498003653599</v>
      </c>
      <c r="Q76">
        <v>35.606317462084597</v>
      </c>
      <c r="R76">
        <v>5137232</v>
      </c>
      <c r="S76">
        <v>1.1341195990332353E-2</v>
      </c>
      <c r="T76">
        <v>50.128999999999998</v>
      </c>
      <c r="U76">
        <v>9.93</v>
      </c>
      <c r="V76">
        <v>48.323877000000003</v>
      </c>
      <c r="W76">
        <v>1.2261010000000001</v>
      </c>
      <c r="X76">
        <v>94.410769999999999</v>
      </c>
      <c r="Y76">
        <v>96.3005</v>
      </c>
      <c r="Z76">
        <v>78.239738464355497</v>
      </c>
      <c r="AA76">
        <v>2018</v>
      </c>
      <c r="AB76">
        <v>2018</v>
      </c>
      <c r="AC76">
        <v>0</v>
      </c>
      <c r="AD76">
        <v>0</v>
      </c>
      <c r="AE76">
        <v>0</v>
      </c>
      <c r="AF76">
        <v>1</v>
      </c>
      <c r="AJ76">
        <v>2.0243148803710942</v>
      </c>
      <c r="AK76">
        <v>1.640582203865051</v>
      </c>
      <c r="AL76">
        <v>0.1267269</v>
      </c>
      <c r="AM76">
        <f>VLOOKUP(D76,[1]Sheet1!$C$1:$D$191,2,FALSE)</f>
        <v>9</v>
      </c>
    </row>
    <row r="77" spans="1:39" x14ac:dyDescent="0.35">
      <c r="A77">
        <v>2015</v>
      </c>
      <c r="B77" t="s">
        <v>13</v>
      </c>
      <c r="C77">
        <v>9</v>
      </c>
      <c r="D77" t="s">
        <v>218</v>
      </c>
      <c r="E77">
        <v>1487946.8555589991</v>
      </c>
      <c r="G77">
        <v>1487946.8555589989</v>
      </c>
      <c r="H77">
        <v>388159512245.53003</v>
      </c>
      <c r="I77">
        <v>388159512245.53003</v>
      </c>
      <c r="J77">
        <v>1.8573397264328169E-2</v>
      </c>
      <c r="K77">
        <v>74809.965804989799</v>
      </c>
      <c r="L77">
        <v>8.487991242164622E-3</v>
      </c>
      <c r="M77">
        <v>74180.323865676997</v>
      </c>
      <c r="N77">
        <v>2.1711366538952701</v>
      </c>
      <c r="O77">
        <v>70.431856540016994</v>
      </c>
      <c r="P77">
        <v>137.83606261998099</v>
      </c>
      <c r="Q77">
        <v>38.151219912701599</v>
      </c>
      <c r="R77">
        <v>5188607</v>
      </c>
      <c r="S77">
        <v>1.0000521681714978E-2</v>
      </c>
      <c r="T77">
        <v>51.137999999999998</v>
      </c>
      <c r="U77">
        <v>9.93</v>
      </c>
      <c r="V77">
        <v>45.811070999999998</v>
      </c>
      <c r="W77">
        <v>1.352409</v>
      </c>
      <c r="X77">
        <v>94.599829999999997</v>
      </c>
      <c r="Y77">
        <v>96.810299999999998</v>
      </c>
      <c r="Z77">
        <v>79.206428527832003</v>
      </c>
      <c r="AA77">
        <v>2018</v>
      </c>
      <c r="AB77">
        <v>2018</v>
      </c>
      <c r="AC77">
        <v>0</v>
      </c>
      <c r="AD77">
        <v>0</v>
      </c>
      <c r="AE77">
        <v>0</v>
      </c>
      <c r="AF77">
        <v>1</v>
      </c>
      <c r="AJ77">
        <v>1.9752500057220459</v>
      </c>
      <c r="AK77">
        <v>1.594650983810425</v>
      </c>
      <c r="AL77">
        <v>8.294979999999999E-2</v>
      </c>
      <c r="AM77">
        <f>VLOOKUP(D77,[1]Sheet1!$C$1:$D$191,2,FALSE)</f>
        <v>9</v>
      </c>
    </row>
    <row r="78" spans="1:39" x14ac:dyDescent="0.35">
      <c r="A78">
        <v>2016</v>
      </c>
      <c r="B78" t="s">
        <v>13</v>
      </c>
      <c r="C78">
        <v>9</v>
      </c>
      <c r="D78" t="s">
        <v>218</v>
      </c>
      <c r="E78">
        <v>5410717.2709823577</v>
      </c>
      <c r="G78">
        <v>5410717.2709823577</v>
      </c>
      <c r="H78">
        <v>392680500155.00702</v>
      </c>
      <c r="I78">
        <v>370956547619.04797</v>
      </c>
      <c r="J78">
        <v>1.1647242349730804E-2</v>
      </c>
      <c r="K78">
        <v>75017.494473705505</v>
      </c>
      <c r="L78">
        <v>2.7740778448780384E-3</v>
      </c>
      <c r="M78">
        <v>74809.965804989799</v>
      </c>
      <c r="N78">
        <v>3.5499999999999798</v>
      </c>
      <c r="O78">
        <v>69.116842397469895</v>
      </c>
      <c r="P78">
        <v>144.971606544856</v>
      </c>
      <c r="Q78">
        <v>39.738578032660101</v>
      </c>
      <c r="R78">
        <v>5234519</v>
      </c>
      <c r="S78">
        <v>8.848617750390423E-3</v>
      </c>
      <c r="T78">
        <v>51.179000000000002</v>
      </c>
      <c r="U78">
        <v>9.93</v>
      </c>
      <c r="V78">
        <v>39.022190999999999</v>
      </c>
      <c r="W78">
        <v>1.5902849999999999</v>
      </c>
      <c r="X78">
        <v>94.36797</v>
      </c>
      <c r="Y78">
        <v>97.298199999999994</v>
      </c>
      <c r="Z78">
        <v>82.037452697753906</v>
      </c>
      <c r="AA78">
        <v>2018</v>
      </c>
      <c r="AB78">
        <v>2018</v>
      </c>
      <c r="AC78">
        <v>0</v>
      </c>
      <c r="AD78">
        <v>0</v>
      </c>
      <c r="AE78">
        <v>0</v>
      </c>
      <c r="AF78">
        <v>1</v>
      </c>
      <c r="AJ78">
        <v>1.994457483291626</v>
      </c>
      <c r="AK78">
        <v>1.6863489151000981</v>
      </c>
      <c r="AL78">
        <v>0.17631227499999999</v>
      </c>
      <c r="AM78">
        <f>VLOOKUP(D78,[1]Sheet1!$C$1:$D$191,2,FALSE)</f>
        <v>9</v>
      </c>
    </row>
    <row r="79" spans="1:39" x14ac:dyDescent="0.35">
      <c r="A79">
        <v>2017</v>
      </c>
      <c r="B79" t="s">
        <v>13</v>
      </c>
      <c r="C79">
        <v>9</v>
      </c>
      <c r="D79" t="s">
        <v>218</v>
      </c>
      <c r="E79">
        <v>10048959.8759897</v>
      </c>
      <c r="F79">
        <v>3269377.3910400001</v>
      </c>
      <c r="G79">
        <v>13318337.267029705</v>
      </c>
      <c r="H79">
        <v>402355151389.89301</v>
      </c>
      <c r="I79">
        <v>401745275035.26099</v>
      </c>
      <c r="J79">
        <v>2.4637462851012482E-2</v>
      </c>
      <c r="K79">
        <v>76247.411655688105</v>
      </c>
      <c r="L79">
        <v>1.6395071451149313E-2</v>
      </c>
      <c r="M79">
        <v>75017.494473705505</v>
      </c>
      <c r="N79">
        <v>1.87510059552554</v>
      </c>
      <c r="O79">
        <v>69.108781762106105</v>
      </c>
      <c r="P79">
        <v>145.26489248151501</v>
      </c>
      <c r="Q79">
        <v>38.694647743389197</v>
      </c>
      <c r="R79">
        <v>5276968</v>
      </c>
      <c r="S79">
        <v>8.1094366072603803E-3</v>
      </c>
      <c r="T79">
        <v>50.673000000000002</v>
      </c>
      <c r="U79">
        <v>9.8699999999999992</v>
      </c>
      <c r="V79">
        <v>36.735908999999999</v>
      </c>
      <c r="W79">
        <v>1.58385</v>
      </c>
      <c r="X79">
        <v>0</v>
      </c>
      <c r="Y79">
        <v>96.357600000000005</v>
      </c>
      <c r="Z79">
        <v>83.735336303710895</v>
      </c>
      <c r="AA79">
        <v>2018</v>
      </c>
      <c r="AB79">
        <v>2018</v>
      </c>
      <c r="AC79">
        <v>0</v>
      </c>
      <c r="AD79">
        <v>0</v>
      </c>
      <c r="AE79">
        <v>0</v>
      </c>
      <c r="AF79">
        <v>1</v>
      </c>
      <c r="AJ79">
        <v>1.980685710906982</v>
      </c>
      <c r="AK79">
        <v>1.80552613735199</v>
      </c>
      <c r="AL79">
        <v>0.106771425</v>
      </c>
      <c r="AM79">
        <f>VLOOKUP(D79,[1]Sheet1!$C$1:$D$191,2,FALSE)</f>
        <v>9</v>
      </c>
    </row>
    <row r="80" spans="1:39" x14ac:dyDescent="0.35">
      <c r="A80">
        <v>2018</v>
      </c>
      <c r="B80" t="s">
        <v>13</v>
      </c>
      <c r="C80">
        <v>9</v>
      </c>
      <c r="D80" t="s">
        <v>218</v>
      </c>
      <c r="E80">
        <v>17518323.371913999</v>
      </c>
      <c r="F80">
        <v>14995933.58</v>
      </c>
      <c r="G80">
        <v>32514256.951914001</v>
      </c>
      <c r="H80">
        <v>405690275911.95599</v>
      </c>
      <c r="I80">
        <v>439788625883.79999</v>
      </c>
      <c r="J80">
        <v>8.2890066413767935E-3</v>
      </c>
      <c r="K80">
        <v>76373.624114529695</v>
      </c>
      <c r="L80">
        <v>1.6553015518943777E-3</v>
      </c>
      <c r="M80">
        <v>76247.411655688105</v>
      </c>
      <c r="N80">
        <v>2.7648313452878801</v>
      </c>
      <c r="O80">
        <v>70.003195789498406</v>
      </c>
      <c r="P80">
        <v>142.49164215769201</v>
      </c>
      <c r="Q80">
        <v>37.129454079189003</v>
      </c>
      <c r="R80">
        <v>5311916</v>
      </c>
      <c r="S80">
        <v>6.6227424536210947E-3</v>
      </c>
      <c r="T80">
        <v>49.488999999999997</v>
      </c>
      <c r="U80">
        <v>9.8699999999999992</v>
      </c>
      <c r="V80">
        <v>35.162016999999999</v>
      </c>
      <c r="W80">
        <v>1.8776060000000001</v>
      </c>
      <c r="X80">
        <v>0</v>
      </c>
      <c r="Y80">
        <v>96.491699999999994</v>
      </c>
      <c r="Z80">
        <v>85.388351440429702</v>
      </c>
      <c r="AA80">
        <v>2018</v>
      </c>
      <c r="AB80">
        <v>2018</v>
      </c>
      <c r="AC80">
        <v>1</v>
      </c>
      <c r="AD80">
        <v>1</v>
      </c>
      <c r="AE80">
        <v>0</v>
      </c>
      <c r="AF80">
        <v>1</v>
      </c>
      <c r="AG80">
        <v>0</v>
      </c>
      <c r="AH80">
        <v>0</v>
      </c>
      <c r="AI80">
        <v>1</v>
      </c>
      <c r="AJ80">
        <v>1.9220771789550779</v>
      </c>
      <c r="AK80">
        <v>1.7841882705688481</v>
      </c>
      <c r="AL80">
        <v>4.3086924999999998E-2</v>
      </c>
      <c r="AM80">
        <f>VLOOKUP(D80,[1]Sheet1!$C$1:$D$191,2,FALSE)</f>
        <v>9</v>
      </c>
    </row>
    <row r="81" spans="1:39" x14ac:dyDescent="0.35">
      <c r="A81">
        <v>2019</v>
      </c>
      <c r="B81" t="s">
        <v>13</v>
      </c>
      <c r="C81">
        <v>9</v>
      </c>
      <c r="D81" t="s">
        <v>218</v>
      </c>
      <c r="E81">
        <v>20299846.594220899</v>
      </c>
      <c r="F81">
        <v>33565700.811084643</v>
      </c>
      <c r="G81">
        <v>53865547.405305542</v>
      </c>
      <c r="H81">
        <v>410249333471.117</v>
      </c>
      <c r="I81">
        <v>408742840909.091</v>
      </c>
      <c r="J81">
        <v>1.1237778743679894E-2</v>
      </c>
      <c r="K81">
        <v>76712.287125837305</v>
      </c>
      <c r="L81">
        <v>4.4342927972064235E-3</v>
      </c>
      <c r="M81">
        <v>76373.624114529695</v>
      </c>
      <c r="N81">
        <v>2.1677300330540201</v>
      </c>
      <c r="O81">
        <v>70.895820527298696</v>
      </c>
      <c r="P81">
        <v>149.388132180241</v>
      </c>
      <c r="Q81">
        <v>38.562087687385102</v>
      </c>
      <c r="R81">
        <v>5347896</v>
      </c>
      <c r="S81">
        <v>6.7734504837802401E-3</v>
      </c>
      <c r="T81">
        <v>50.697000000000003</v>
      </c>
      <c r="U81">
        <v>9.8699999999999992</v>
      </c>
      <c r="V81">
        <v>32.966028000000001</v>
      </c>
      <c r="W81">
        <v>2.147408</v>
      </c>
      <c r="X81">
        <v>0</v>
      </c>
      <c r="Y81">
        <v>98</v>
      </c>
      <c r="Z81">
        <v>85.763381958007798</v>
      </c>
      <c r="AA81">
        <v>2018</v>
      </c>
      <c r="AB81">
        <v>2018</v>
      </c>
      <c r="AC81">
        <v>1</v>
      </c>
      <c r="AD81">
        <v>1</v>
      </c>
      <c r="AE81">
        <v>0</v>
      </c>
      <c r="AF81">
        <v>1</v>
      </c>
      <c r="AG81">
        <v>1</v>
      </c>
      <c r="AH81">
        <v>1</v>
      </c>
      <c r="AI81">
        <v>1</v>
      </c>
      <c r="AJ81">
        <v>1.940843462944031</v>
      </c>
      <c r="AK81">
        <v>1.7978940010070801</v>
      </c>
      <c r="AL81">
        <v>2.3468175000000001E-2</v>
      </c>
      <c r="AM81">
        <f>VLOOKUP(D81,[1]Sheet1!$C$1:$D$191,2,FALSE)</f>
        <v>9</v>
      </c>
    </row>
    <row r="82" spans="1:39" x14ac:dyDescent="0.35">
      <c r="A82">
        <v>2020</v>
      </c>
      <c r="B82" t="s">
        <v>13</v>
      </c>
      <c r="C82">
        <v>9</v>
      </c>
      <c r="D82" t="s">
        <v>218</v>
      </c>
      <c r="E82">
        <v>64960426.153147101</v>
      </c>
      <c r="F82">
        <v>58207446.926883563</v>
      </c>
      <c r="G82">
        <v>123167873.08003065</v>
      </c>
      <c r="H82">
        <v>405005642244.49701</v>
      </c>
      <c r="I82">
        <v>367633418886.62701</v>
      </c>
      <c r="J82">
        <v>-1.2781717845226357E-2</v>
      </c>
      <c r="K82">
        <v>75287.205953089695</v>
      </c>
      <c r="L82">
        <v>-1.857696108590708E-2</v>
      </c>
      <c r="M82">
        <v>76712.287125837305</v>
      </c>
      <c r="N82">
        <v>1.2865849070800499</v>
      </c>
      <c r="O82">
        <v>65.353979041332295</v>
      </c>
      <c r="P82">
        <v>163.53599156453399</v>
      </c>
      <c r="Q82">
        <v>45.390956428793302</v>
      </c>
      <c r="R82">
        <v>5379475</v>
      </c>
      <c r="S82">
        <v>5.9049390638860593E-3</v>
      </c>
      <c r="T82">
        <v>49.847999999999999</v>
      </c>
      <c r="U82">
        <v>9.81</v>
      </c>
      <c r="V82">
        <v>32.32884</v>
      </c>
      <c r="W82">
        <v>2.0138199999999999</v>
      </c>
      <c r="X82">
        <v>0</v>
      </c>
      <c r="Y82">
        <v>94.607600000000005</v>
      </c>
      <c r="Z82">
        <v>87.168533325195298</v>
      </c>
      <c r="AA82">
        <v>2018</v>
      </c>
      <c r="AB82">
        <v>2018</v>
      </c>
      <c r="AC82">
        <v>1</v>
      </c>
      <c r="AD82">
        <v>1</v>
      </c>
      <c r="AE82">
        <v>0</v>
      </c>
      <c r="AF82">
        <v>1</v>
      </c>
      <c r="AG82">
        <v>2</v>
      </c>
      <c r="AH82">
        <v>2</v>
      </c>
      <c r="AI82">
        <v>1</v>
      </c>
      <c r="AJ82">
        <v>1.9299217462539671</v>
      </c>
      <c r="AK82">
        <v>1.69426965713501</v>
      </c>
      <c r="AL82">
        <v>0.147549925</v>
      </c>
      <c r="AM82">
        <f>VLOOKUP(D82,[1]Sheet1!$C$1:$D$191,2,FALSE)</f>
        <v>9</v>
      </c>
    </row>
    <row r="83" spans="1:39" x14ac:dyDescent="0.35">
      <c r="A83">
        <v>2012</v>
      </c>
      <c r="B83" t="s">
        <v>14</v>
      </c>
      <c r="C83">
        <v>10</v>
      </c>
      <c r="D83" t="s">
        <v>219</v>
      </c>
      <c r="E83">
        <v>102866.64</v>
      </c>
      <c r="F83">
        <v>3521206.0946789999</v>
      </c>
      <c r="G83">
        <v>3624072.734679</v>
      </c>
      <c r="H83">
        <v>439333996551.26703</v>
      </c>
      <c r="I83">
        <v>498148649702.65997</v>
      </c>
      <c r="J83">
        <v>1.5117816764457344E-2</v>
      </c>
      <c r="K83">
        <v>11542.235336801399</v>
      </c>
      <c r="L83">
        <v>1.5120243670463579E-2</v>
      </c>
      <c r="M83">
        <v>11370.313427173</v>
      </c>
      <c r="N83">
        <v>3.5603715170278298</v>
      </c>
      <c r="O83">
        <v>88.829903306658295</v>
      </c>
      <c r="P83">
        <v>50.325105625424598</v>
      </c>
      <c r="Q83">
        <v>35.055435625510903</v>
      </c>
      <c r="R83">
        <v>38063164</v>
      </c>
      <c r="S83">
        <v>-2.3907571751286116E-6</v>
      </c>
      <c r="T83">
        <v>19.454000000000001</v>
      </c>
      <c r="U83">
        <v>7.12</v>
      </c>
      <c r="V83">
        <v>56.237386000000001</v>
      </c>
      <c r="W83">
        <v>3.4572470000000002</v>
      </c>
      <c r="X83">
        <v>38.561579999999999</v>
      </c>
      <c r="Y83">
        <v>62.31</v>
      </c>
      <c r="Z83">
        <v>75.038291931152301</v>
      </c>
      <c r="AA83">
        <v>2018</v>
      </c>
      <c r="AB83">
        <v>2019</v>
      </c>
      <c r="AC83">
        <v>0</v>
      </c>
      <c r="AD83">
        <v>0</v>
      </c>
      <c r="AE83">
        <v>1</v>
      </c>
      <c r="AF83">
        <v>1</v>
      </c>
      <c r="AJ83">
        <v>0.81786853075027466</v>
      </c>
      <c r="AK83">
        <v>0.9963957667350769</v>
      </c>
      <c r="AL83">
        <v>4.9627699999999997E-2</v>
      </c>
      <c r="AM83">
        <f>VLOOKUP(D83,[1]Sheet1!$C$1:$D$191,2,FALSE)</f>
        <v>10</v>
      </c>
    </row>
    <row r="84" spans="1:39" x14ac:dyDescent="0.35">
      <c r="A84">
        <v>2013</v>
      </c>
      <c r="B84" t="s">
        <v>14</v>
      </c>
      <c r="C84">
        <v>10</v>
      </c>
      <c r="D84" t="s">
        <v>219</v>
      </c>
      <c r="E84">
        <v>657422.86499999999</v>
      </c>
      <c r="F84">
        <v>2113923.9645659998</v>
      </c>
      <c r="G84">
        <v>2771346.829566</v>
      </c>
      <c r="H84">
        <v>442340098156.25403</v>
      </c>
      <c r="I84">
        <v>518179836405.35999</v>
      </c>
      <c r="J84">
        <v>6.8424060705172627E-3</v>
      </c>
      <c r="K84">
        <v>11628.228680952499</v>
      </c>
      <c r="L84">
        <v>7.4503197727149133E-3</v>
      </c>
      <c r="M84">
        <v>11542.235336801399</v>
      </c>
      <c r="N84">
        <v>0.99198260633242796</v>
      </c>
      <c r="O84">
        <v>90.417507241562902</v>
      </c>
      <c r="P84">
        <v>51.664277235847798</v>
      </c>
      <c r="Q84">
        <v>35.907405688717802</v>
      </c>
      <c r="R84">
        <v>38040196</v>
      </c>
      <c r="S84">
        <v>-6.0341804480573398E-4</v>
      </c>
      <c r="T84">
        <v>18.713999999999999</v>
      </c>
      <c r="U84">
        <v>7.12</v>
      </c>
      <c r="V84">
        <v>58.302613999999998</v>
      </c>
      <c r="W84">
        <v>2.9902609999999998</v>
      </c>
      <c r="X84">
        <v>40.567210000000003</v>
      </c>
      <c r="Y84">
        <v>62.849200000000003</v>
      </c>
      <c r="Z84">
        <v>73.317268371582003</v>
      </c>
      <c r="AA84">
        <v>2018</v>
      </c>
      <c r="AB84">
        <v>2019</v>
      </c>
      <c r="AC84">
        <v>0</v>
      </c>
      <c r="AD84">
        <v>0</v>
      </c>
      <c r="AE84">
        <v>1</v>
      </c>
      <c r="AF84">
        <v>1</v>
      </c>
      <c r="AJ84">
        <v>0.83954483270645142</v>
      </c>
      <c r="AK84">
        <v>1.052614569664001</v>
      </c>
      <c r="AL84">
        <v>2.1612625E-2</v>
      </c>
      <c r="AM84">
        <f>VLOOKUP(D84,[1]Sheet1!$C$1:$D$191,2,FALSE)</f>
        <v>10</v>
      </c>
    </row>
    <row r="85" spans="1:39" x14ac:dyDescent="0.35">
      <c r="A85">
        <v>2014</v>
      </c>
      <c r="B85" t="s">
        <v>14</v>
      </c>
      <c r="C85">
        <v>10</v>
      </c>
      <c r="D85" t="s">
        <v>219</v>
      </c>
      <c r="E85">
        <v>1792851.2350000001</v>
      </c>
      <c r="F85">
        <v>2184806.1123700002</v>
      </c>
      <c r="G85">
        <v>4176936.8473699996</v>
      </c>
      <c r="H85">
        <v>459682079851.43903</v>
      </c>
      <c r="I85">
        <v>542134167178.62701</v>
      </c>
      <c r="J85">
        <v>3.9205086239003012E-2</v>
      </c>
      <c r="K85">
        <v>12093.162278739401</v>
      </c>
      <c r="L85">
        <v>3.9983183212459611E-2</v>
      </c>
      <c r="M85">
        <v>11628.228680952499</v>
      </c>
      <c r="N85">
        <v>5.3821313239980198E-2</v>
      </c>
      <c r="O85">
        <v>92.034019711317796</v>
      </c>
      <c r="P85">
        <v>52.623549823882001</v>
      </c>
      <c r="Q85">
        <v>35.0635293842479</v>
      </c>
      <c r="R85">
        <v>38011735</v>
      </c>
      <c r="S85">
        <v>-7.4818226488633239E-4</v>
      </c>
      <c r="T85">
        <v>18.236999999999998</v>
      </c>
      <c r="U85">
        <v>7.47</v>
      </c>
      <c r="V85">
        <v>63.406740999999997</v>
      </c>
      <c r="W85">
        <v>2.5925910000000001</v>
      </c>
      <c r="X85">
        <v>44.783929999999998</v>
      </c>
      <c r="Y85">
        <v>66.598699999999994</v>
      </c>
      <c r="Z85">
        <v>70.238967895507798</v>
      </c>
      <c r="AA85">
        <v>2018</v>
      </c>
      <c r="AB85">
        <v>2019</v>
      </c>
      <c r="AC85">
        <v>0</v>
      </c>
      <c r="AD85">
        <v>0</v>
      </c>
      <c r="AE85">
        <v>1</v>
      </c>
      <c r="AF85">
        <v>1</v>
      </c>
      <c r="AJ85">
        <v>0.87160587310791016</v>
      </c>
      <c r="AK85">
        <v>1.0633153915405269</v>
      </c>
      <c r="AL85">
        <v>6.1456724999999997E-2</v>
      </c>
      <c r="AM85">
        <f>VLOOKUP(D85,[1]Sheet1!$C$1:$D$191,2,FALSE)</f>
        <v>10</v>
      </c>
    </row>
    <row r="86" spans="1:39" x14ac:dyDescent="0.35">
      <c r="A86">
        <v>2015</v>
      </c>
      <c r="B86" t="s">
        <v>14</v>
      </c>
      <c r="C86">
        <v>10</v>
      </c>
      <c r="D86" t="s">
        <v>219</v>
      </c>
      <c r="E86">
        <v>4770602.5938439853</v>
      </c>
      <c r="F86">
        <v>6607083.0719999894</v>
      </c>
      <c r="G86">
        <v>11377685.665843973</v>
      </c>
      <c r="H86">
        <v>480054118583.367</v>
      </c>
      <c r="I86">
        <v>480054118583.367</v>
      </c>
      <c r="J86">
        <v>4.431767002644927E-2</v>
      </c>
      <c r="K86">
        <v>12637.5220324406</v>
      </c>
      <c r="L86">
        <v>4.5013846763490524E-2</v>
      </c>
      <c r="M86">
        <v>12093.162278739401</v>
      </c>
      <c r="N86">
        <v>-0.87412587412577003</v>
      </c>
      <c r="O86">
        <v>92.255427274194204</v>
      </c>
      <c r="P86">
        <v>53.314886900932997</v>
      </c>
      <c r="Q86">
        <v>34.127485957943499</v>
      </c>
      <c r="R86">
        <v>37986412</v>
      </c>
      <c r="S86">
        <v>-6.6618900715792115E-4</v>
      </c>
      <c r="T86">
        <v>44.984999999999999</v>
      </c>
      <c r="U86">
        <v>7.09</v>
      </c>
      <c r="V86">
        <v>68.453306999999995</v>
      </c>
      <c r="W86">
        <v>2.418463</v>
      </c>
      <c r="X86">
        <v>45.389110000000002</v>
      </c>
      <c r="Y86">
        <v>67.997</v>
      </c>
      <c r="Z86">
        <v>69.373199462890597</v>
      </c>
      <c r="AA86">
        <v>2018</v>
      </c>
      <c r="AB86">
        <v>2019</v>
      </c>
      <c r="AC86">
        <v>0</v>
      </c>
      <c r="AD86">
        <v>0</v>
      </c>
      <c r="AE86">
        <v>1</v>
      </c>
      <c r="AF86">
        <v>1</v>
      </c>
      <c r="AJ86">
        <v>0.80359464883804321</v>
      </c>
      <c r="AK86">
        <v>0.95463442802429199</v>
      </c>
      <c r="AL86">
        <v>0.14541152500000001</v>
      </c>
      <c r="AM86">
        <f>VLOOKUP(D86,[1]Sheet1!$C$1:$D$191,2,FALSE)</f>
        <v>10</v>
      </c>
    </row>
    <row r="87" spans="1:39" x14ac:dyDescent="0.35">
      <c r="A87">
        <v>2016</v>
      </c>
      <c r="B87" t="s">
        <v>14</v>
      </c>
      <c r="C87">
        <v>10</v>
      </c>
      <c r="D87" t="s">
        <v>219</v>
      </c>
      <c r="E87">
        <v>6258517.1292853625</v>
      </c>
      <c r="F87">
        <v>35947781.43731758</v>
      </c>
      <c r="G87">
        <v>42206298.566602945</v>
      </c>
      <c r="H87">
        <v>494605411858.33698</v>
      </c>
      <c r="I87">
        <v>473259583969.64301</v>
      </c>
      <c r="J87">
        <v>3.0311776759484189E-2</v>
      </c>
      <c r="K87">
        <v>13026.1858988718</v>
      </c>
      <c r="L87">
        <v>3.0754752825237167E-2</v>
      </c>
      <c r="M87">
        <v>12637.5220324406</v>
      </c>
      <c r="N87">
        <v>-0.66476733143396105</v>
      </c>
      <c r="O87">
        <v>96.865902806062294</v>
      </c>
      <c r="P87">
        <v>54.3456987288045</v>
      </c>
      <c r="Q87">
        <v>34.791903363416097</v>
      </c>
      <c r="R87">
        <v>37970087</v>
      </c>
      <c r="S87">
        <v>-4.297589359058181E-4</v>
      </c>
      <c r="T87">
        <v>44.390999999999998</v>
      </c>
      <c r="U87">
        <v>6.83</v>
      </c>
      <c r="V87">
        <v>72.453006999999999</v>
      </c>
      <c r="W87">
        <v>2.6110120000000001</v>
      </c>
      <c r="X87">
        <v>43.330019999999998</v>
      </c>
      <c r="Y87">
        <v>73.300700000000006</v>
      </c>
      <c r="Z87">
        <v>69.850379943847699</v>
      </c>
      <c r="AA87">
        <v>2018</v>
      </c>
      <c r="AB87">
        <v>2019</v>
      </c>
      <c r="AC87">
        <v>0</v>
      </c>
      <c r="AD87">
        <v>0</v>
      </c>
      <c r="AE87">
        <v>1</v>
      </c>
      <c r="AF87">
        <v>1</v>
      </c>
      <c r="AJ87">
        <v>0.59382414817810059</v>
      </c>
      <c r="AK87">
        <v>0.90623205900192261</v>
      </c>
      <c r="AL87">
        <v>0.124996225</v>
      </c>
      <c r="AM87">
        <f>VLOOKUP(D87,[1]Sheet1!$C$1:$D$191,2,FALSE)</f>
        <v>10</v>
      </c>
    </row>
    <row r="88" spans="1:39" x14ac:dyDescent="0.35">
      <c r="A88">
        <v>2017</v>
      </c>
      <c r="B88" t="s">
        <v>14</v>
      </c>
      <c r="C88">
        <v>10</v>
      </c>
      <c r="D88" t="s">
        <v>219</v>
      </c>
      <c r="E88">
        <v>11471937.755273661</v>
      </c>
      <c r="F88">
        <v>149495550.94267899</v>
      </c>
      <c r="G88">
        <v>160967488.69795266</v>
      </c>
      <c r="H88">
        <v>520089746650.75</v>
      </c>
      <c r="I88">
        <v>528356676667.211</v>
      </c>
      <c r="J88">
        <v>5.1524577332591241E-2</v>
      </c>
      <c r="K88">
        <v>13695.6452848724</v>
      </c>
      <c r="L88">
        <v>5.1393354217260379E-2</v>
      </c>
      <c r="M88">
        <v>13026.1858988718</v>
      </c>
      <c r="N88">
        <v>2.0759355367385002</v>
      </c>
      <c r="O88">
        <v>100.56589524627999</v>
      </c>
      <c r="P88">
        <v>52.274297939340002</v>
      </c>
      <c r="Q88">
        <v>34.254190128783698</v>
      </c>
      <c r="R88">
        <v>37974826</v>
      </c>
      <c r="S88">
        <v>1.2480877381186933E-4</v>
      </c>
      <c r="T88">
        <v>44.494999999999997</v>
      </c>
      <c r="U88">
        <v>6.67</v>
      </c>
      <c r="V88">
        <v>71.865116</v>
      </c>
      <c r="W88">
        <v>3.118001</v>
      </c>
      <c r="X88">
        <v>43.603659999999998</v>
      </c>
      <c r="Y88">
        <v>75.985399999999998</v>
      </c>
      <c r="Z88">
        <v>70.617462158203097</v>
      </c>
      <c r="AA88">
        <v>2018</v>
      </c>
      <c r="AB88">
        <v>2019</v>
      </c>
      <c r="AC88">
        <v>0</v>
      </c>
      <c r="AD88">
        <v>0</v>
      </c>
      <c r="AE88">
        <v>1</v>
      </c>
      <c r="AF88">
        <v>1</v>
      </c>
      <c r="AJ88">
        <v>0.40089505910873408</v>
      </c>
      <c r="AK88">
        <v>0.80514013767242432</v>
      </c>
      <c r="AL88">
        <v>0.1329697</v>
      </c>
      <c r="AM88">
        <f>VLOOKUP(D88,[1]Sheet1!$C$1:$D$191,2,FALSE)</f>
        <v>10</v>
      </c>
    </row>
    <row r="89" spans="1:39" x14ac:dyDescent="0.35">
      <c r="A89">
        <v>2018</v>
      </c>
      <c r="B89" t="s">
        <v>14</v>
      </c>
      <c r="C89">
        <v>10</v>
      </c>
      <c r="D89" t="s">
        <v>219</v>
      </c>
      <c r="E89">
        <v>23038193.422814</v>
      </c>
      <c r="F89">
        <v>310254989.30069453</v>
      </c>
      <c r="G89">
        <v>333293182.72350854</v>
      </c>
      <c r="H89">
        <v>552573816155.98901</v>
      </c>
      <c r="I89">
        <v>594616687350.01697</v>
      </c>
      <c r="J89">
        <v>6.2458584723941259E-2</v>
      </c>
      <c r="K89">
        <v>14551.085027708899</v>
      </c>
      <c r="L89">
        <v>6.2460711054000487E-2</v>
      </c>
      <c r="M89">
        <v>13695.6452848724</v>
      </c>
      <c r="N89">
        <v>1.81295156542679</v>
      </c>
      <c r="O89">
        <v>102.44246216800499</v>
      </c>
      <c r="P89">
        <v>51.896989504965298</v>
      </c>
      <c r="Q89">
        <v>33.051513163378203</v>
      </c>
      <c r="R89">
        <v>37974750</v>
      </c>
      <c r="S89">
        <v>-2.0013258256930527E-6</v>
      </c>
      <c r="T89">
        <v>44.015000000000001</v>
      </c>
      <c r="U89">
        <v>6.67</v>
      </c>
      <c r="V89">
        <v>70.923534000000004</v>
      </c>
      <c r="W89">
        <v>2.7698510000000001</v>
      </c>
      <c r="X89">
        <v>47.828850000000003</v>
      </c>
      <c r="Y89">
        <v>77.541700000000006</v>
      </c>
      <c r="Z89">
        <v>71.021743774414105</v>
      </c>
      <c r="AA89">
        <v>2018</v>
      </c>
      <c r="AB89">
        <v>2019</v>
      </c>
      <c r="AC89">
        <v>1</v>
      </c>
      <c r="AD89">
        <v>0</v>
      </c>
      <c r="AE89">
        <v>1</v>
      </c>
      <c r="AF89">
        <v>1</v>
      </c>
      <c r="AG89">
        <v>0</v>
      </c>
      <c r="AI89">
        <v>1</v>
      </c>
      <c r="AJ89">
        <v>0.37692937254905701</v>
      </c>
      <c r="AK89">
        <v>0.874214768409729</v>
      </c>
      <c r="AL89">
        <v>5.6304975E-2</v>
      </c>
      <c r="AM89">
        <f>VLOOKUP(D89,[1]Sheet1!$C$1:$D$191,2,FALSE)</f>
        <v>10</v>
      </c>
    </row>
    <row r="90" spans="1:39" x14ac:dyDescent="0.35">
      <c r="A90">
        <v>2019</v>
      </c>
      <c r="B90" t="s">
        <v>14</v>
      </c>
      <c r="C90">
        <v>10</v>
      </c>
      <c r="D90" t="s">
        <v>219</v>
      </c>
      <c r="E90">
        <v>46476197.082190409</v>
      </c>
      <c r="F90">
        <v>477374926.3743428</v>
      </c>
      <c r="G90">
        <v>523851123.45653319</v>
      </c>
      <c r="H90">
        <v>577884228677.54395</v>
      </c>
      <c r="I90">
        <v>602683770144.88</v>
      </c>
      <c r="J90">
        <v>4.580458172562038E-2</v>
      </c>
      <c r="K90">
        <v>15221.3090624454</v>
      </c>
      <c r="L90">
        <v>4.6060072734110655E-2</v>
      </c>
      <c r="M90">
        <v>14551.085027708899</v>
      </c>
      <c r="N90">
        <v>2.2274788093829998</v>
      </c>
      <c r="O90">
        <v>101.581033817373</v>
      </c>
      <c r="P90">
        <v>50.227729545720699</v>
      </c>
      <c r="Q90">
        <v>33.818194075963397</v>
      </c>
      <c r="R90">
        <v>37965475</v>
      </c>
      <c r="S90">
        <v>-2.4424123924449799E-4</v>
      </c>
      <c r="T90">
        <v>43.524999999999999</v>
      </c>
      <c r="U90">
        <v>6.62</v>
      </c>
      <c r="V90">
        <v>70.508723000000003</v>
      </c>
      <c r="W90">
        <v>2.9340130000000002</v>
      </c>
      <c r="X90">
        <v>47.941670000000002</v>
      </c>
      <c r="Y90">
        <v>80.435900000000004</v>
      </c>
      <c r="Z90">
        <v>70.906501770019503</v>
      </c>
      <c r="AA90">
        <v>2018</v>
      </c>
      <c r="AB90">
        <v>2019</v>
      </c>
      <c r="AC90">
        <v>1</v>
      </c>
      <c r="AD90">
        <v>1</v>
      </c>
      <c r="AE90">
        <v>1</v>
      </c>
      <c r="AF90">
        <v>1</v>
      </c>
      <c r="AG90">
        <v>1</v>
      </c>
      <c r="AH90">
        <v>0</v>
      </c>
      <c r="AI90">
        <v>1</v>
      </c>
      <c r="AJ90">
        <v>0.39124181866645807</v>
      </c>
      <c r="AK90">
        <v>1.013511657714844</v>
      </c>
      <c r="AL90">
        <v>6.9938749999999994E-2</v>
      </c>
      <c r="AM90">
        <f>VLOOKUP(D90,[1]Sheet1!$C$1:$D$191,2,FALSE)</f>
        <v>10</v>
      </c>
    </row>
    <row r="91" spans="1:39" x14ac:dyDescent="0.35">
      <c r="A91">
        <v>2020</v>
      </c>
      <c r="B91" t="s">
        <v>14</v>
      </c>
      <c r="C91">
        <v>10</v>
      </c>
      <c r="D91" t="s">
        <v>219</v>
      </c>
      <c r="E91">
        <v>85154891.924123347</v>
      </c>
      <c r="F91">
        <v>304794121.81359851</v>
      </c>
      <c r="G91">
        <v>389949013.73772186</v>
      </c>
      <c r="H91">
        <v>566120997479.77197</v>
      </c>
      <c r="I91">
        <v>605914237903.74194</v>
      </c>
      <c r="J91">
        <v>-2.0355688239998306E-2</v>
      </c>
      <c r="K91">
        <v>14937.596027548199</v>
      </c>
      <c r="L91">
        <v>-1.8639200724015797E-2</v>
      </c>
      <c r="M91">
        <v>15221.3090624454</v>
      </c>
      <c r="N91">
        <v>3.37446972618589</v>
      </c>
      <c r="O91">
        <v>99.2590912303436</v>
      </c>
      <c r="P91">
        <v>49.266518515947901</v>
      </c>
      <c r="Q91">
        <v>40.503210237889</v>
      </c>
      <c r="R91">
        <v>37899070</v>
      </c>
      <c r="S91">
        <v>-1.7490891395405958E-3</v>
      </c>
      <c r="T91">
        <v>43.456000000000003</v>
      </c>
      <c r="U91">
        <v>6.85</v>
      </c>
      <c r="V91">
        <v>67.936024000000003</v>
      </c>
      <c r="W91">
        <v>2.6323439999999998</v>
      </c>
      <c r="X91">
        <v>48.475619999999999</v>
      </c>
      <c r="Y91">
        <v>83.184899999999999</v>
      </c>
      <c r="Z91">
        <v>70.973037719726605</v>
      </c>
      <c r="AA91">
        <v>2018</v>
      </c>
      <c r="AB91">
        <v>2019</v>
      </c>
      <c r="AC91">
        <v>1</v>
      </c>
      <c r="AD91">
        <v>1</v>
      </c>
      <c r="AE91">
        <v>1</v>
      </c>
      <c r="AF91">
        <v>1</v>
      </c>
      <c r="AG91">
        <v>2</v>
      </c>
      <c r="AH91">
        <v>1</v>
      </c>
      <c r="AI91">
        <v>1</v>
      </c>
      <c r="AJ91">
        <v>0.52474939823150635</v>
      </c>
      <c r="AK91">
        <v>0.85068196058273315</v>
      </c>
      <c r="AL91">
        <v>0.113541825</v>
      </c>
      <c r="AM91">
        <f>VLOOKUP(D91,[1]Sheet1!$C$1:$D$191,2,FALSE)</f>
        <v>10</v>
      </c>
    </row>
    <row r="92" spans="1:39" x14ac:dyDescent="0.35">
      <c r="A92">
        <v>2012</v>
      </c>
      <c r="B92" t="s">
        <v>15</v>
      </c>
      <c r="C92">
        <v>11</v>
      </c>
      <c r="D92" t="s">
        <v>220</v>
      </c>
      <c r="E92">
        <v>108902.340102</v>
      </c>
      <c r="G92">
        <v>108902.340102</v>
      </c>
      <c r="H92">
        <v>196414790306.892</v>
      </c>
      <c r="I92">
        <v>216536676771.97299</v>
      </c>
      <c r="J92">
        <v>-4.0509026186836002E-2</v>
      </c>
      <c r="K92">
        <v>18679.762658094802</v>
      </c>
      <c r="L92">
        <v>-3.6611144636011755E-2</v>
      </c>
      <c r="M92">
        <v>19389.6395563318</v>
      </c>
      <c r="N92">
        <v>2.7733385405158599</v>
      </c>
      <c r="O92">
        <v>75.941106718781299</v>
      </c>
      <c r="P92">
        <v>152.72867515630699</v>
      </c>
      <c r="Q92">
        <v>44.134248058680903</v>
      </c>
      <c r="R92">
        <v>10514844</v>
      </c>
      <c r="S92">
        <v>-4.0460106312443407E-3</v>
      </c>
      <c r="T92">
        <v>57.966000000000001</v>
      </c>
      <c r="U92">
        <v>7.92</v>
      </c>
      <c r="V92">
        <v>184.92446000000001</v>
      </c>
      <c r="W92">
        <v>1.0467649999999999</v>
      </c>
      <c r="X92">
        <v>87.12012</v>
      </c>
      <c r="Y92">
        <v>60.34</v>
      </c>
      <c r="AA92">
        <v>2018</v>
      </c>
      <c r="AB92">
        <v>2019</v>
      </c>
      <c r="AC92">
        <v>0</v>
      </c>
      <c r="AD92">
        <v>0</v>
      </c>
      <c r="AE92">
        <v>1</v>
      </c>
      <c r="AF92">
        <v>1</v>
      </c>
      <c r="AJ92">
        <v>1.0361119508743291</v>
      </c>
      <c r="AK92">
        <v>0.82137298583984375</v>
      </c>
      <c r="AL92">
        <v>9.4268525000000006E-2</v>
      </c>
      <c r="AM92">
        <f>VLOOKUP(D92,[1]Sheet1!$C$1:$D$191,2,FALSE)</f>
        <v>11</v>
      </c>
    </row>
    <row r="93" spans="1:39" x14ac:dyDescent="0.35">
      <c r="A93">
        <v>2013</v>
      </c>
      <c r="B93" t="s">
        <v>15</v>
      </c>
      <c r="C93">
        <v>11</v>
      </c>
      <c r="D93" t="s">
        <v>220</v>
      </c>
      <c r="E93">
        <v>257219.684217</v>
      </c>
      <c r="G93">
        <v>257219.684217</v>
      </c>
      <c r="H93">
        <v>194481859081.56699</v>
      </c>
      <c r="I93">
        <v>226677408291.745</v>
      </c>
      <c r="J93">
        <v>-9.8410675810353555E-3</v>
      </c>
      <c r="K93">
        <v>18597.721407072</v>
      </c>
      <c r="L93">
        <v>-4.3919857293930513E-3</v>
      </c>
      <c r="M93">
        <v>18679.762658094802</v>
      </c>
      <c r="N93">
        <v>0.27441666666666298</v>
      </c>
      <c r="O93">
        <v>78.030505687428203</v>
      </c>
      <c r="P93">
        <v>142.933688214656</v>
      </c>
      <c r="Q93">
        <v>45.325051027050698</v>
      </c>
      <c r="R93">
        <v>10457295</v>
      </c>
      <c r="S93">
        <v>-5.4731197153281589E-3</v>
      </c>
      <c r="T93">
        <v>55.838999999999999</v>
      </c>
      <c r="U93">
        <v>7.65</v>
      </c>
      <c r="V93">
        <v>180.41938999999999</v>
      </c>
      <c r="W93">
        <v>0.92604229999999998</v>
      </c>
      <c r="X93">
        <v>86.450659999999999</v>
      </c>
      <c r="Y93">
        <v>62.095599999999997</v>
      </c>
      <c r="AA93">
        <v>2018</v>
      </c>
      <c r="AB93">
        <v>2019</v>
      </c>
      <c r="AC93">
        <v>0</v>
      </c>
      <c r="AD93">
        <v>0</v>
      </c>
      <c r="AE93">
        <v>1</v>
      </c>
      <c r="AF93">
        <v>1</v>
      </c>
      <c r="AJ93">
        <v>1.03864598274231</v>
      </c>
      <c r="AK93">
        <v>0.7983013391494751</v>
      </c>
      <c r="AL93">
        <v>0.10464612500000001</v>
      </c>
      <c r="AM93">
        <f>VLOOKUP(D93,[1]Sheet1!$C$1:$D$191,2,FALSE)</f>
        <v>11</v>
      </c>
    </row>
    <row r="94" spans="1:39" x14ac:dyDescent="0.35">
      <c r="A94">
        <v>2014</v>
      </c>
      <c r="B94" t="s">
        <v>15</v>
      </c>
      <c r="C94">
        <v>11</v>
      </c>
      <c r="D94" t="s">
        <v>220</v>
      </c>
      <c r="E94">
        <v>597838.5</v>
      </c>
      <c r="G94">
        <v>597838.5</v>
      </c>
      <c r="H94">
        <v>195923730996.63</v>
      </c>
      <c r="I94">
        <v>230078616299.67499</v>
      </c>
      <c r="J94">
        <v>7.413914705835304E-3</v>
      </c>
      <c r="K94">
        <v>18836.8967511808</v>
      </c>
      <c r="L94">
        <v>1.2860464939422694E-2</v>
      </c>
      <c r="M94">
        <v>18597.721407072</v>
      </c>
      <c r="N94">
        <v>-0.27815336746742803</v>
      </c>
      <c r="O94">
        <v>80.220669072079005</v>
      </c>
      <c r="P94">
        <v>129.65117371452101</v>
      </c>
      <c r="Q94">
        <v>47.3990075517478</v>
      </c>
      <c r="R94">
        <v>10401062</v>
      </c>
      <c r="S94">
        <v>-5.3773944409142137E-3</v>
      </c>
      <c r="T94">
        <v>53.634999999999998</v>
      </c>
      <c r="U94">
        <v>7.79</v>
      </c>
      <c r="V94">
        <v>176.87306000000001</v>
      </c>
      <c r="W94">
        <v>0.91033299999999995</v>
      </c>
      <c r="X94">
        <v>84.769059999999996</v>
      </c>
      <c r="Y94">
        <v>64.592399999999998</v>
      </c>
      <c r="AA94">
        <v>2018</v>
      </c>
      <c r="AB94">
        <v>2019</v>
      </c>
      <c r="AC94">
        <v>0</v>
      </c>
      <c r="AD94">
        <v>0</v>
      </c>
      <c r="AE94">
        <v>1</v>
      </c>
      <c r="AF94">
        <v>1</v>
      </c>
      <c r="AJ94">
        <v>1.1194648742675779</v>
      </c>
      <c r="AK94">
        <v>0.74593335390090942</v>
      </c>
      <c r="AL94">
        <v>8.2672949999999995E-2</v>
      </c>
      <c r="AM94">
        <f>VLOOKUP(D94,[1]Sheet1!$C$1:$D$191,2,FALSE)</f>
        <v>11</v>
      </c>
    </row>
    <row r="95" spans="1:39" x14ac:dyDescent="0.35">
      <c r="A95">
        <v>2015</v>
      </c>
      <c r="B95" t="s">
        <v>15</v>
      </c>
      <c r="C95">
        <v>11</v>
      </c>
      <c r="D95" t="s">
        <v>220</v>
      </c>
      <c r="E95">
        <v>907351.65072899894</v>
      </c>
      <c r="F95">
        <v>884718.61699999997</v>
      </c>
      <c r="G95">
        <v>1792070.2677289988</v>
      </c>
      <c r="H95">
        <v>199038523119.63901</v>
      </c>
      <c r="I95">
        <v>199038523119.63901</v>
      </c>
      <c r="J95">
        <v>1.5897982889385556E-2</v>
      </c>
      <c r="K95">
        <v>19215.781301434701</v>
      </c>
      <c r="L95">
        <v>2.0113958007979743E-2</v>
      </c>
      <c r="M95">
        <v>18836.8967511808</v>
      </c>
      <c r="N95">
        <v>0.48793862390471998</v>
      </c>
      <c r="O95">
        <v>80.634675626644295</v>
      </c>
      <c r="P95">
        <v>120.048513231382</v>
      </c>
      <c r="Q95">
        <v>43.834532316472199</v>
      </c>
      <c r="R95">
        <v>10358076</v>
      </c>
      <c r="S95">
        <v>-4.1328472034874901E-3</v>
      </c>
      <c r="T95">
        <v>52.551000000000002</v>
      </c>
      <c r="U95">
        <v>7.79</v>
      </c>
      <c r="V95">
        <v>173.42478</v>
      </c>
      <c r="W95">
        <v>0.97189329999999996</v>
      </c>
      <c r="X95">
        <v>65.710189999999997</v>
      </c>
      <c r="Y95">
        <v>68.632900000000006</v>
      </c>
      <c r="Z95">
        <v>61.7960205078125</v>
      </c>
      <c r="AA95">
        <v>2018</v>
      </c>
      <c r="AB95">
        <v>2019</v>
      </c>
      <c r="AC95">
        <v>0</v>
      </c>
      <c r="AD95">
        <v>0</v>
      </c>
      <c r="AE95">
        <v>1</v>
      </c>
      <c r="AF95">
        <v>1</v>
      </c>
      <c r="AJ95">
        <v>1.10189425945282</v>
      </c>
      <c r="AK95">
        <v>0.9418036937713623</v>
      </c>
      <c r="AL95">
        <v>9.9840624999999988E-2</v>
      </c>
      <c r="AM95">
        <f>VLOOKUP(D95,[1]Sheet1!$C$1:$D$191,2,FALSE)</f>
        <v>11</v>
      </c>
    </row>
    <row r="96" spans="1:39" x14ac:dyDescent="0.35">
      <c r="A96">
        <v>2016</v>
      </c>
      <c r="B96" t="s">
        <v>15</v>
      </c>
      <c r="C96">
        <v>11</v>
      </c>
      <c r="D96" t="s">
        <v>220</v>
      </c>
      <c r="E96">
        <v>1242037.820473558</v>
      </c>
      <c r="F96">
        <v>3650825.1540000001</v>
      </c>
      <c r="G96">
        <v>4892862.9744735574</v>
      </c>
      <c r="H96">
        <v>203027535953.58401</v>
      </c>
      <c r="I96">
        <v>206305431241.638</v>
      </c>
      <c r="J96">
        <v>2.0041410936049164E-2</v>
      </c>
      <c r="K96">
        <v>19662.823085477001</v>
      </c>
      <c r="L96">
        <v>2.3264304325160193E-2</v>
      </c>
      <c r="M96">
        <v>19215.781301434701</v>
      </c>
      <c r="N96">
        <v>0.60739707464171899</v>
      </c>
      <c r="O96">
        <v>79.522346484400103</v>
      </c>
      <c r="P96">
        <v>111.328568595891</v>
      </c>
      <c r="Q96">
        <v>41.153997079387203</v>
      </c>
      <c r="R96">
        <v>10325452</v>
      </c>
      <c r="S96">
        <v>-3.1496196784035952E-3</v>
      </c>
      <c r="T96">
        <v>51.295000000000002</v>
      </c>
      <c r="U96">
        <v>7.86</v>
      </c>
      <c r="V96">
        <v>168.78068999999999</v>
      </c>
      <c r="W96">
        <v>1.1402669999999999</v>
      </c>
      <c r="X96">
        <v>64.866820000000004</v>
      </c>
      <c r="Y96">
        <v>70.423599999999993</v>
      </c>
      <c r="Z96">
        <v>63.2387504577637</v>
      </c>
      <c r="AA96">
        <v>2018</v>
      </c>
      <c r="AB96">
        <v>2019</v>
      </c>
      <c r="AC96">
        <v>0</v>
      </c>
      <c r="AD96">
        <v>0</v>
      </c>
      <c r="AE96">
        <v>1</v>
      </c>
      <c r="AF96">
        <v>1</v>
      </c>
      <c r="AJ96">
        <v>1.0433328151702881</v>
      </c>
      <c r="AK96">
        <v>0.83220171928405762</v>
      </c>
      <c r="AL96">
        <v>9.6384175000000002E-2</v>
      </c>
      <c r="AM96">
        <f>VLOOKUP(D96,[1]Sheet1!$C$1:$D$191,2,FALSE)</f>
        <v>11</v>
      </c>
    </row>
    <row r="97" spans="1:39" x14ac:dyDescent="0.35">
      <c r="A97">
        <v>2017</v>
      </c>
      <c r="B97" t="s">
        <v>15</v>
      </c>
      <c r="C97">
        <v>11</v>
      </c>
      <c r="D97" t="s">
        <v>220</v>
      </c>
      <c r="E97">
        <v>1168402.7420954099</v>
      </c>
      <c r="F97">
        <v>8691113.8800000008</v>
      </c>
      <c r="G97">
        <v>9859516.6220954098</v>
      </c>
      <c r="H97">
        <v>209757331881.69901</v>
      </c>
      <c r="I97">
        <v>220862990767.229</v>
      </c>
      <c r="J97">
        <v>3.3147207823344467E-2</v>
      </c>
      <c r="K97">
        <v>20364.1963711444</v>
      </c>
      <c r="L97">
        <v>3.5670019641555709E-2</v>
      </c>
      <c r="M97">
        <v>19662.823085477001</v>
      </c>
      <c r="N97">
        <v>1.3686141164347201</v>
      </c>
      <c r="O97">
        <v>84.8077923069539</v>
      </c>
      <c r="P97">
        <v>102.855290609028</v>
      </c>
      <c r="Q97">
        <v>41.509709295631097</v>
      </c>
      <c r="R97">
        <v>10300300</v>
      </c>
      <c r="S97">
        <v>-2.4359224177304779E-3</v>
      </c>
      <c r="T97">
        <v>51.354999999999997</v>
      </c>
      <c r="U97">
        <v>7.84</v>
      </c>
      <c r="V97">
        <v>167.99456000000001</v>
      </c>
      <c r="W97">
        <v>1.342252</v>
      </c>
      <c r="X97">
        <v>65.134</v>
      </c>
      <c r="Y97">
        <v>73.791200000000003</v>
      </c>
      <c r="Z97">
        <v>64.204017639160199</v>
      </c>
      <c r="AA97">
        <v>2018</v>
      </c>
      <c r="AB97">
        <v>2019</v>
      </c>
      <c r="AC97">
        <v>0</v>
      </c>
      <c r="AD97">
        <v>0</v>
      </c>
      <c r="AE97">
        <v>1</v>
      </c>
      <c r="AF97">
        <v>1</v>
      </c>
      <c r="AJ97">
        <v>1.1039775609970091</v>
      </c>
      <c r="AK97">
        <v>0.89714980125427246</v>
      </c>
      <c r="AL97">
        <v>7.2147925000000002E-2</v>
      </c>
      <c r="AM97">
        <f>VLOOKUP(D97,[1]Sheet1!$C$1:$D$191,2,FALSE)</f>
        <v>11</v>
      </c>
    </row>
    <row r="98" spans="1:39" x14ac:dyDescent="0.35">
      <c r="A98">
        <v>2018</v>
      </c>
      <c r="B98" t="s">
        <v>15</v>
      </c>
      <c r="C98">
        <v>11</v>
      </c>
      <c r="D98" t="s">
        <v>220</v>
      </c>
      <c r="E98">
        <v>1225414.9493549999</v>
      </c>
      <c r="F98">
        <v>15297276.807800001</v>
      </c>
      <c r="G98">
        <v>16522691.757154999</v>
      </c>
      <c r="H98">
        <v>215937375267.63699</v>
      </c>
      <c r="I98">
        <v>242092894542.888</v>
      </c>
      <c r="J98">
        <v>2.9462824162082065E-2</v>
      </c>
      <c r="K98">
        <v>20997.7744915886</v>
      </c>
      <c r="L98">
        <v>3.111235567056134E-2</v>
      </c>
      <c r="M98">
        <v>20364.1963711444</v>
      </c>
      <c r="N98">
        <v>0.99371568346832595</v>
      </c>
      <c r="O98">
        <v>86.735695491839905</v>
      </c>
      <c r="P98">
        <v>97.096305193670403</v>
      </c>
      <c r="Q98">
        <v>39.139757243846603</v>
      </c>
      <c r="R98">
        <v>10283822</v>
      </c>
      <c r="S98">
        <v>-1.5997592303136801E-3</v>
      </c>
      <c r="T98">
        <v>50.290999999999997</v>
      </c>
      <c r="U98">
        <v>7.84</v>
      </c>
      <c r="V98">
        <v>165.76712000000001</v>
      </c>
      <c r="W98">
        <v>1.3620669999999999</v>
      </c>
      <c r="X98">
        <v>65.44135</v>
      </c>
      <c r="Y98">
        <v>74.661000000000001</v>
      </c>
      <c r="Z98">
        <v>65.112739562988295</v>
      </c>
      <c r="AA98">
        <v>2018</v>
      </c>
      <c r="AB98">
        <v>2019</v>
      </c>
      <c r="AC98">
        <v>1</v>
      </c>
      <c r="AD98">
        <v>0</v>
      </c>
      <c r="AE98">
        <v>1</v>
      </c>
      <c r="AF98">
        <v>1</v>
      </c>
      <c r="AG98">
        <v>0</v>
      </c>
      <c r="AJ98">
        <v>1.1079808473587041</v>
      </c>
      <c r="AK98">
        <v>0.87497538328170776</v>
      </c>
      <c r="AL98">
        <v>3.6109475000000002E-2</v>
      </c>
      <c r="AM98">
        <f>VLOOKUP(D98,[1]Sheet1!$C$1:$D$191,2,FALSE)</f>
        <v>11</v>
      </c>
    </row>
    <row r="99" spans="1:39" x14ac:dyDescent="0.35">
      <c r="A99">
        <v>2019</v>
      </c>
      <c r="B99" t="s">
        <v>15</v>
      </c>
      <c r="C99">
        <v>11</v>
      </c>
      <c r="D99" t="s">
        <v>220</v>
      </c>
      <c r="E99">
        <v>1560501.58959062</v>
      </c>
      <c r="F99">
        <v>27981863.633790001</v>
      </c>
      <c r="G99">
        <v>29542365.223380622</v>
      </c>
      <c r="H99">
        <v>221866334776.91501</v>
      </c>
      <c r="I99">
        <v>240115970063.01901</v>
      </c>
      <c r="J99">
        <v>2.7456847161958634E-2</v>
      </c>
      <c r="K99">
        <v>21569.187447075299</v>
      </c>
      <c r="L99">
        <v>2.7213024681048897E-2</v>
      </c>
      <c r="M99">
        <v>20997.7744915886</v>
      </c>
      <c r="N99">
        <v>0.33817841004603399</v>
      </c>
      <c r="O99">
        <v>86.770988908358603</v>
      </c>
      <c r="P99">
        <v>93.355549453739997</v>
      </c>
      <c r="Q99">
        <v>38.496928724777497</v>
      </c>
      <c r="R99">
        <v>10286263</v>
      </c>
      <c r="S99">
        <v>2.3736311266375477E-4</v>
      </c>
      <c r="T99">
        <v>49.168999999999997</v>
      </c>
      <c r="U99">
        <v>8.0299999999999994</v>
      </c>
      <c r="V99">
        <v>170.18713</v>
      </c>
      <c r="W99">
        <v>1.462704</v>
      </c>
      <c r="X99">
        <v>66.868340000000003</v>
      </c>
      <c r="Y99">
        <v>75.346400000000003</v>
      </c>
      <c r="Z99">
        <v>66.092056274414105</v>
      </c>
      <c r="AA99">
        <v>2018</v>
      </c>
      <c r="AB99">
        <v>2019</v>
      </c>
      <c r="AC99">
        <v>1</v>
      </c>
      <c r="AD99">
        <v>1</v>
      </c>
      <c r="AE99">
        <v>1</v>
      </c>
      <c r="AF99">
        <v>1</v>
      </c>
      <c r="AG99">
        <v>1</v>
      </c>
      <c r="AH99">
        <v>0</v>
      </c>
      <c r="AJ99">
        <v>1.106359124183655</v>
      </c>
      <c r="AK99">
        <v>0.95791035890579224</v>
      </c>
      <c r="AL99">
        <v>0.111895775</v>
      </c>
      <c r="AM99">
        <f>VLOOKUP(D99,[1]Sheet1!$C$1:$D$191,2,FALSE)</f>
        <v>11</v>
      </c>
    </row>
    <row r="100" spans="1:39" x14ac:dyDescent="0.35">
      <c r="A100">
        <v>2020</v>
      </c>
      <c r="B100" t="s">
        <v>15</v>
      </c>
      <c r="C100">
        <v>11</v>
      </c>
      <c r="D100" t="s">
        <v>220</v>
      </c>
      <c r="E100">
        <v>2094797.3264721141</v>
      </c>
      <c r="F100">
        <v>17432003.10111</v>
      </c>
      <c r="G100">
        <v>19526800.427582115</v>
      </c>
      <c r="H100">
        <v>203663018337.793</v>
      </c>
      <c r="I100">
        <v>229618773422.577</v>
      </c>
      <c r="J100">
        <v>-8.2046320625548314E-2</v>
      </c>
      <c r="K100">
        <v>19778.713825577601</v>
      </c>
      <c r="L100">
        <v>-8.3010712660874009E-2</v>
      </c>
      <c r="M100">
        <v>21569.187447075299</v>
      </c>
      <c r="N100">
        <v>-1.2438329957530501E-2</v>
      </c>
      <c r="O100">
        <v>76.508640720921505</v>
      </c>
      <c r="P100">
        <v>104.074185342131</v>
      </c>
      <c r="Q100">
        <v>44.333742611680997</v>
      </c>
      <c r="R100">
        <v>10297081</v>
      </c>
      <c r="S100">
        <v>1.0516938950520709E-3</v>
      </c>
      <c r="T100">
        <v>46.756999999999998</v>
      </c>
      <c r="U100">
        <v>7.9</v>
      </c>
      <c r="V100">
        <v>165.41002</v>
      </c>
      <c r="W100">
        <v>1.411481</v>
      </c>
      <c r="X100">
        <v>67.982370000000003</v>
      </c>
      <c r="Y100">
        <v>78.261700000000005</v>
      </c>
      <c r="Z100">
        <v>68.156890869140597</v>
      </c>
      <c r="AA100">
        <v>2018</v>
      </c>
      <c r="AB100">
        <v>2019</v>
      </c>
      <c r="AC100">
        <v>1</v>
      </c>
      <c r="AD100">
        <v>1</v>
      </c>
      <c r="AE100">
        <v>1</v>
      </c>
      <c r="AF100">
        <v>1</v>
      </c>
      <c r="AG100">
        <v>2</v>
      </c>
      <c r="AH100">
        <v>1</v>
      </c>
      <c r="AJ100">
        <v>1.156680583953857</v>
      </c>
      <c r="AK100">
        <v>0.82206916809082031</v>
      </c>
      <c r="AL100">
        <v>0.14043847500000001</v>
      </c>
      <c r="AM100">
        <f>VLOOKUP(D100,[1]Sheet1!$C$1:$D$191,2,FALSE)</f>
        <v>11</v>
      </c>
    </row>
    <row r="101" spans="1:39" x14ac:dyDescent="0.35">
      <c r="A101">
        <v>2012</v>
      </c>
      <c r="B101" t="s">
        <v>16</v>
      </c>
      <c r="C101">
        <v>12</v>
      </c>
      <c r="D101" t="s">
        <v>221</v>
      </c>
      <c r="F101">
        <v>180016.62</v>
      </c>
      <c r="G101">
        <v>180016.62</v>
      </c>
      <c r="H101">
        <v>81977043383.768707</v>
      </c>
      <c r="I101">
        <v>94724394278.052002</v>
      </c>
      <c r="J101">
        <v>1.5691711562839741E-2</v>
      </c>
      <c r="K101">
        <v>15159.6571004823</v>
      </c>
      <c r="L101">
        <v>1.3964638266677279E-2</v>
      </c>
      <c r="M101">
        <v>14950.873559453699</v>
      </c>
      <c r="N101">
        <v>3.6061026352289001</v>
      </c>
      <c r="O101">
        <v>176.96895818143099</v>
      </c>
      <c r="P101">
        <v>46.158856071376398</v>
      </c>
      <c r="Q101">
        <v>39.1325775702987</v>
      </c>
      <c r="R101">
        <v>5407579</v>
      </c>
      <c r="S101">
        <v>1.7032875023340317E-3</v>
      </c>
      <c r="T101">
        <v>18.234999999999999</v>
      </c>
      <c r="U101">
        <v>7.35</v>
      </c>
      <c r="V101">
        <v>54.695169999999997</v>
      </c>
      <c r="W101">
        <v>3.7641279999999999</v>
      </c>
      <c r="X101">
        <v>68.527259999999998</v>
      </c>
      <c r="Y101">
        <v>76.709999999999994</v>
      </c>
      <c r="Z101">
        <v>57.038440704345703</v>
      </c>
      <c r="AA101">
        <v>2018</v>
      </c>
      <c r="AB101">
        <v>2019</v>
      </c>
      <c r="AC101">
        <v>0</v>
      </c>
      <c r="AD101">
        <v>0</v>
      </c>
      <c r="AE101">
        <v>1</v>
      </c>
      <c r="AF101">
        <v>1</v>
      </c>
      <c r="AJ101">
        <v>0.48591175675392151</v>
      </c>
      <c r="AK101">
        <v>1.040906667709351</v>
      </c>
      <c r="AL101">
        <v>4.4947124999999997E-2</v>
      </c>
      <c r="AM101">
        <f>VLOOKUP(D101,[1]Sheet1!$C$1:$D$191,2,FALSE)</f>
        <v>12</v>
      </c>
    </row>
    <row r="102" spans="1:39" x14ac:dyDescent="0.35">
      <c r="A102">
        <v>2013</v>
      </c>
      <c r="B102" t="s">
        <v>16</v>
      </c>
      <c r="C102">
        <v>12</v>
      </c>
      <c r="D102" t="s">
        <v>221</v>
      </c>
      <c r="F102">
        <v>1328127</v>
      </c>
      <c r="G102">
        <v>1328127</v>
      </c>
      <c r="H102">
        <v>82553607304.946396</v>
      </c>
      <c r="I102">
        <v>99134277850.341797</v>
      </c>
      <c r="J102">
        <v>7.0332363473826764E-3</v>
      </c>
      <c r="K102">
        <v>15249.8825237603</v>
      </c>
      <c r="L102">
        <v>5.9516796903756591E-3</v>
      </c>
      <c r="M102">
        <v>15159.6571004823</v>
      </c>
      <c r="N102">
        <v>1.4004736896302501</v>
      </c>
      <c r="O102">
        <v>180.90313649145801</v>
      </c>
      <c r="P102">
        <v>47.685056715079199</v>
      </c>
      <c r="Q102">
        <v>40.024260385858902</v>
      </c>
      <c r="R102">
        <v>5413393</v>
      </c>
      <c r="S102">
        <v>1.0751576629763522E-3</v>
      </c>
      <c r="T102">
        <v>18.802</v>
      </c>
      <c r="U102">
        <v>7.35</v>
      </c>
      <c r="V102">
        <v>56.206519</v>
      </c>
      <c r="W102">
        <v>3.4406560000000002</v>
      </c>
      <c r="X102">
        <v>76.582350000000005</v>
      </c>
      <c r="Y102">
        <v>77.882599999999996</v>
      </c>
      <c r="Z102">
        <v>55.253978729247997</v>
      </c>
      <c r="AA102">
        <v>2018</v>
      </c>
      <c r="AB102">
        <v>2019</v>
      </c>
      <c r="AC102">
        <v>0</v>
      </c>
      <c r="AD102">
        <v>0</v>
      </c>
      <c r="AE102">
        <v>1</v>
      </c>
      <c r="AF102">
        <v>1</v>
      </c>
      <c r="AJ102">
        <v>0.46376773715019232</v>
      </c>
      <c r="AK102">
        <v>0.9277803897857666</v>
      </c>
      <c r="AL102">
        <v>3.4069450000000001E-2</v>
      </c>
      <c r="AM102">
        <f>VLOOKUP(D102,[1]Sheet1!$C$1:$D$191,2,FALSE)</f>
        <v>12</v>
      </c>
    </row>
    <row r="103" spans="1:39" x14ac:dyDescent="0.35">
      <c r="A103">
        <v>2014</v>
      </c>
      <c r="B103" t="s">
        <v>16</v>
      </c>
      <c r="C103">
        <v>12</v>
      </c>
      <c r="D103" t="s">
        <v>221</v>
      </c>
      <c r="F103">
        <v>1328530</v>
      </c>
      <c r="G103">
        <v>1328530</v>
      </c>
      <c r="H103">
        <v>84789118228.725403</v>
      </c>
      <c r="I103">
        <v>101713075598.862</v>
      </c>
      <c r="J103">
        <v>2.7079506235520506E-2</v>
      </c>
      <c r="K103">
        <v>15647.6491148855</v>
      </c>
      <c r="L103">
        <v>2.608325608446194E-2</v>
      </c>
      <c r="M103">
        <v>15249.8825237603</v>
      </c>
      <c r="N103">
        <v>-7.6165329541987098E-2</v>
      </c>
      <c r="O103">
        <v>176.756316098132</v>
      </c>
      <c r="P103">
        <v>49.500772573446703</v>
      </c>
      <c r="Q103">
        <v>40.049895314012304</v>
      </c>
      <c r="R103">
        <v>5418649</v>
      </c>
      <c r="S103">
        <v>9.7092525889031151E-4</v>
      </c>
      <c r="T103">
        <v>20.314</v>
      </c>
      <c r="U103">
        <v>7.35</v>
      </c>
      <c r="V103">
        <v>58.905951000000002</v>
      </c>
      <c r="W103">
        <v>3.3509389999999999</v>
      </c>
      <c r="X103">
        <v>76.015870000000007</v>
      </c>
      <c r="Y103">
        <v>79.984300000000005</v>
      </c>
      <c r="Z103">
        <v>53.884300231933601</v>
      </c>
      <c r="AA103">
        <v>2018</v>
      </c>
      <c r="AB103">
        <v>2019</v>
      </c>
      <c r="AC103">
        <v>0</v>
      </c>
      <c r="AD103">
        <v>0</v>
      </c>
      <c r="AE103">
        <v>1</v>
      </c>
      <c r="AF103">
        <v>1</v>
      </c>
      <c r="AJ103">
        <v>0.48506829142570501</v>
      </c>
      <c r="AK103">
        <v>0.8854517936706543</v>
      </c>
      <c r="AL103">
        <v>2.18836E-2</v>
      </c>
      <c r="AM103">
        <f>VLOOKUP(D103,[1]Sheet1!$C$1:$D$191,2,FALSE)</f>
        <v>12</v>
      </c>
    </row>
    <row r="104" spans="1:39" x14ac:dyDescent="0.35">
      <c r="A104">
        <v>2015</v>
      </c>
      <c r="B104" t="s">
        <v>16</v>
      </c>
      <c r="C104">
        <v>12</v>
      </c>
      <c r="D104" t="s">
        <v>221</v>
      </c>
      <c r="E104">
        <v>412131.23740899999</v>
      </c>
      <c r="F104">
        <v>1864991.284879989</v>
      </c>
      <c r="G104">
        <v>2277122.5222889888</v>
      </c>
      <c r="H104">
        <v>89178548717.332397</v>
      </c>
      <c r="I104">
        <v>89178548717.332397</v>
      </c>
      <c r="J104">
        <v>5.176879510370843E-2</v>
      </c>
      <c r="K104">
        <v>16442.076086001802</v>
      </c>
      <c r="L104">
        <v>5.0769733222134218E-2</v>
      </c>
      <c r="M104">
        <v>15647.6491148855</v>
      </c>
      <c r="N104">
        <v>-0.325219777427673</v>
      </c>
      <c r="O104">
        <v>179.42602289503</v>
      </c>
      <c r="P104">
        <v>52.333282742139403</v>
      </c>
      <c r="Q104">
        <v>40.678346916336899</v>
      </c>
      <c r="R104">
        <v>5423801</v>
      </c>
      <c r="S104">
        <v>9.5079050147001587E-4</v>
      </c>
      <c r="T104">
        <v>20.434999999999999</v>
      </c>
      <c r="U104">
        <v>7.29</v>
      </c>
      <c r="V104">
        <v>59.505057000000001</v>
      </c>
      <c r="W104">
        <v>3.1275819999999999</v>
      </c>
      <c r="X104">
        <v>67.646159999999995</v>
      </c>
      <c r="Y104">
        <v>77.634699999999995</v>
      </c>
      <c r="Z104">
        <v>52.720668792724602</v>
      </c>
      <c r="AA104">
        <v>2018</v>
      </c>
      <c r="AB104">
        <v>2019</v>
      </c>
      <c r="AC104">
        <v>0</v>
      </c>
      <c r="AD104">
        <v>0</v>
      </c>
      <c r="AE104">
        <v>1</v>
      </c>
      <c r="AF104">
        <v>1</v>
      </c>
      <c r="AJ104">
        <v>0.46648401021957397</v>
      </c>
      <c r="AK104">
        <v>0.77258604764938354</v>
      </c>
      <c r="AL104">
        <v>7.1466224999999994E-2</v>
      </c>
      <c r="AM104">
        <f>VLOOKUP(D104,[1]Sheet1!$C$1:$D$191,2,FALSE)</f>
        <v>12</v>
      </c>
    </row>
    <row r="105" spans="1:39" x14ac:dyDescent="0.35">
      <c r="A105">
        <v>2016</v>
      </c>
      <c r="B105" t="s">
        <v>16</v>
      </c>
      <c r="C105">
        <v>12</v>
      </c>
      <c r="D105" t="s">
        <v>221</v>
      </c>
      <c r="E105">
        <v>978165.84097449109</v>
      </c>
      <c r="F105">
        <v>2716517.13558</v>
      </c>
      <c r="G105">
        <v>3694682.9765544911</v>
      </c>
      <c r="H105">
        <v>90915585456.201508</v>
      </c>
      <c r="I105">
        <v>90347173228.635605</v>
      </c>
      <c r="J105">
        <v>1.947819025823086E-2</v>
      </c>
      <c r="K105">
        <v>16740.7414999051</v>
      </c>
      <c r="L105">
        <v>1.8164702093646869E-2</v>
      </c>
      <c r="M105">
        <v>16442.076086001802</v>
      </c>
      <c r="N105">
        <v>-0.52001019627826595</v>
      </c>
      <c r="O105">
        <v>182.75737959620099</v>
      </c>
      <c r="P105">
        <v>56.671635083533602</v>
      </c>
      <c r="Q105">
        <v>40.3193736538256</v>
      </c>
      <c r="R105">
        <v>5430798</v>
      </c>
      <c r="S105">
        <v>1.2900547051781582E-3</v>
      </c>
      <c r="T105">
        <v>20.276</v>
      </c>
      <c r="U105">
        <v>7.29</v>
      </c>
      <c r="V105">
        <v>60.082546999999998</v>
      </c>
      <c r="W105">
        <v>2.9369540000000001</v>
      </c>
      <c r="X105">
        <v>68.184330000000003</v>
      </c>
      <c r="Y105">
        <v>80.475899999999996</v>
      </c>
      <c r="Z105">
        <v>50.301448822021499</v>
      </c>
      <c r="AA105">
        <v>2018</v>
      </c>
      <c r="AB105">
        <v>2019</v>
      </c>
      <c r="AC105">
        <v>0</v>
      </c>
      <c r="AD105">
        <v>0</v>
      </c>
      <c r="AE105">
        <v>1</v>
      </c>
      <c r="AF105">
        <v>1</v>
      </c>
      <c r="AJ105">
        <v>0.59704881906509399</v>
      </c>
      <c r="AK105">
        <v>0.8769683837890625</v>
      </c>
      <c r="AL105">
        <v>2.3061749999999999E-2</v>
      </c>
      <c r="AM105">
        <f>VLOOKUP(D105,[1]Sheet1!$C$1:$D$191,2,FALSE)</f>
        <v>12</v>
      </c>
    </row>
    <row r="106" spans="1:39" x14ac:dyDescent="0.35">
      <c r="A106">
        <v>2017</v>
      </c>
      <c r="B106" t="s">
        <v>16</v>
      </c>
      <c r="C106">
        <v>12</v>
      </c>
      <c r="D106" t="s">
        <v>221</v>
      </c>
      <c r="E106">
        <v>90209.992137660709</v>
      </c>
      <c r="F106">
        <v>11397589.112159999</v>
      </c>
      <c r="G106">
        <v>11487799.104297662</v>
      </c>
      <c r="H106">
        <v>93529165116.486694</v>
      </c>
      <c r="I106">
        <v>95978130734.976593</v>
      </c>
      <c r="J106">
        <v>2.8747322553890127E-2</v>
      </c>
      <c r="K106">
        <v>17195.2888048325</v>
      </c>
      <c r="L106">
        <v>2.7152160788694892E-2</v>
      </c>
      <c r="M106">
        <v>16740.7414999051</v>
      </c>
      <c r="N106">
        <v>1.31194588223228</v>
      </c>
      <c r="O106">
        <v>186.64468739954901</v>
      </c>
      <c r="P106">
        <v>59.8779995896911</v>
      </c>
      <c r="Q106">
        <v>37.039285492753898</v>
      </c>
      <c r="R106">
        <v>5439232</v>
      </c>
      <c r="S106">
        <v>1.5529946059492546E-3</v>
      </c>
      <c r="T106">
        <v>21.638000000000002</v>
      </c>
      <c r="U106">
        <v>7.16</v>
      </c>
      <c r="V106">
        <v>60.673484000000002</v>
      </c>
      <c r="W106">
        <v>2.8650530000000001</v>
      </c>
      <c r="X106">
        <v>69.584109999999995</v>
      </c>
      <c r="Y106">
        <v>81.625699999999995</v>
      </c>
      <c r="Z106">
        <v>49.1256103515625</v>
      </c>
      <c r="AA106">
        <v>2018</v>
      </c>
      <c r="AB106">
        <v>2019</v>
      </c>
      <c r="AC106">
        <v>0</v>
      </c>
      <c r="AD106">
        <v>0</v>
      </c>
      <c r="AE106">
        <v>1</v>
      </c>
      <c r="AF106">
        <v>1</v>
      </c>
      <c r="AJ106">
        <v>0.51324808597564697</v>
      </c>
      <c r="AK106">
        <v>0.81201529502868652</v>
      </c>
      <c r="AL106">
        <v>4.52713E-2</v>
      </c>
      <c r="AM106">
        <f>VLOOKUP(D106,[1]Sheet1!$C$1:$D$191,2,FALSE)</f>
        <v>12</v>
      </c>
    </row>
    <row r="107" spans="1:39" x14ac:dyDescent="0.35">
      <c r="A107">
        <v>2018</v>
      </c>
      <c r="B107" t="s">
        <v>16</v>
      </c>
      <c r="C107">
        <v>12</v>
      </c>
      <c r="D107" t="s">
        <v>221</v>
      </c>
      <c r="E107">
        <v>102786.3849</v>
      </c>
      <c r="F107">
        <v>22583588</v>
      </c>
      <c r="G107">
        <v>22686374.3849</v>
      </c>
      <c r="H107">
        <v>97328432384.415604</v>
      </c>
      <c r="I107">
        <v>106611673364.83701</v>
      </c>
      <c r="J107">
        <v>4.06212036983018E-2</v>
      </c>
      <c r="K107">
        <v>17869.014941956499</v>
      </c>
      <c r="L107">
        <v>3.9180856150241389E-2</v>
      </c>
      <c r="M107">
        <v>17195.2888048325</v>
      </c>
      <c r="N107">
        <v>2.5140371288381198</v>
      </c>
      <c r="O107">
        <v>188.73296469949599</v>
      </c>
      <c r="P107">
        <v>61.441946418206598</v>
      </c>
      <c r="Q107">
        <v>37.128783200282399</v>
      </c>
      <c r="R107">
        <v>5446771</v>
      </c>
      <c r="S107">
        <v>1.386041264649127E-3</v>
      </c>
      <c r="T107">
        <v>21.256</v>
      </c>
      <c r="U107">
        <v>7.1</v>
      </c>
      <c r="V107">
        <v>61.861423000000002</v>
      </c>
      <c r="W107">
        <v>2.5648390000000001</v>
      </c>
      <c r="X107">
        <v>70.672229999999999</v>
      </c>
      <c r="Y107">
        <v>80.448899999999995</v>
      </c>
      <c r="Z107">
        <v>47.813831329345703</v>
      </c>
      <c r="AA107">
        <v>2018</v>
      </c>
      <c r="AB107">
        <v>2019</v>
      </c>
      <c r="AC107">
        <v>1</v>
      </c>
      <c r="AD107">
        <v>0</v>
      </c>
      <c r="AE107">
        <v>1</v>
      </c>
      <c r="AF107">
        <v>1</v>
      </c>
      <c r="AG107">
        <v>0</v>
      </c>
      <c r="AJ107">
        <v>0.4728696346282959</v>
      </c>
      <c r="AK107">
        <v>0.79831230640411377</v>
      </c>
      <c r="AL107">
        <v>2.5888950000000001E-2</v>
      </c>
      <c r="AM107">
        <f>VLOOKUP(D107,[1]Sheet1!$C$1:$D$191,2,FALSE)</f>
        <v>12</v>
      </c>
    </row>
    <row r="108" spans="1:39" x14ac:dyDescent="0.35">
      <c r="A108">
        <v>2019</v>
      </c>
      <c r="B108" t="s">
        <v>16</v>
      </c>
      <c r="C108">
        <v>12</v>
      </c>
      <c r="D108" t="s">
        <v>221</v>
      </c>
      <c r="E108">
        <v>1049790.9755085099</v>
      </c>
      <c r="F108">
        <v>5814692.392608</v>
      </c>
      <c r="G108">
        <v>6864483.368116511</v>
      </c>
      <c r="H108">
        <v>99543529380.519897</v>
      </c>
      <c r="I108">
        <v>105843498304.09399</v>
      </c>
      <c r="J108">
        <v>2.2758991816033594E-2</v>
      </c>
      <c r="K108">
        <v>18250.980287205301</v>
      </c>
      <c r="L108">
        <v>2.1375847884706065E-2</v>
      </c>
      <c r="M108">
        <v>17869.014941956499</v>
      </c>
      <c r="N108">
        <v>2.66456133425431</v>
      </c>
      <c r="O108">
        <v>183.722608631236</v>
      </c>
      <c r="P108">
        <v>62.464507252250101</v>
      </c>
      <c r="Q108">
        <v>38.097992115792302</v>
      </c>
      <c r="R108">
        <v>5454147</v>
      </c>
      <c r="S108">
        <v>1.3541968259726726E-3</v>
      </c>
      <c r="T108">
        <v>21.370999999999999</v>
      </c>
      <c r="U108">
        <v>7.17</v>
      </c>
      <c r="V108">
        <v>61.837442000000003</v>
      </c>
      <c r="W108">
        <v>2.3338299999999998</v>
      </c>
      <c r="X108">
        <v>71.149529999999999</v>
      </c>
      <c r="Y108">
        <v>82.853700000000003</v>
      </c>
      <c r="Z108">
        <v>48.190238952636697</v>
      </c>
      <c r="AA108">
        <v>2018</v>
      </c>
      <c r="AB108">
        <v>2019</v>
      </c>
      <c r="AC108">
        <v>1</v>
      </c>
      <c r="AD108">
        <v>1</v>
      </c>
      <c r="AE108">
        <v>1</v>
      </c>
      <c r="AF108">
        <v>1</v>
      </c>
      <c r="AG108">
        <v>1</v>
      </c>
      <c r="AH108">
        <v>0</v>
      </c>
      <c r="AJ108">
        <v>0.50003349781036377</v>
      </c>
      <c r="AK108">
        <v>0.9975811243057251</v>
      </c>
      <c r="AL108">
        <v>6.2954874999999993E-2</v>
      </c>
      <c r="AM108">
        <f>VLOOKUP(D108,[1]Sheet1!$C$1:$D$191,2,FALSE)</f>
        <v>12</v>
      </c>
    </row>
    <row r="109" spans="1:39" x14ac:dyDescent="0.35">
      <c r="A109">
        <v>2020</v>
      </c>
      <c r="B109" t="s">
        <v>16</v>
      </c>
      <c r="C109">
        <v>12</v>
      </c>
      <c r="D109" t="s">
        <v>221</v>
      </c>
      <c r="E109">
        <v>880404.75435459998</v>
      </c>
      <c r="F109">
        <v>5288822.0455499999</v>
      </c>
      <c r="G109">
        <v>6169226.7999045998</v>
      </c>
      <c r="H109">
        <v>96969818956.446396</v>
      </c>
      <c r="I109">
        <v>107732602896.44099</v>
      </c>
      <c r="J109">
        <v>-2.5855125291319659E-2</v>
      </c>
      <c r="K109">
        <v>17763.856402931699</v>
      </c>
      <c r="L109">
        <v>-2.6690286034394339E-2</v>
      </c>
      <c r="M109">
        <v>18250.980287205301</v>
      </c>
      <c r="N109">
        <v>1.9369412669422299</v>
      </c>
      <c r="O109">
        <v>167.53417332036599</v>
      </c>
      <c r="P109">
        <v>65.647590409825995</v>
      </c>
      <c r="Q109">
        <v>42.110012191082397</v>
      </c>
      <c r="R109">
        <v>5458827</v>
      </c>
      <c r="S109">
        <v>8.5806268147888204E-4</v>
      </c>
      <c r="T109">
        <v>18.268999999999998</v>
      </c>
      <c r="U109">
        <v>6.97</v>
      </c>
      <c r="V109">
        <v>63.126561000000002</v>
      </c>
      <c r="W109">
        <v>2.196132</v>
      </c>
      <c r="X109">
        <v>71.998949999999994</v>
      </c>
      <c r="Y109">
        <v>89.920900000000003</v>
      </c>
      <c r="Z109">
        <v>48.379001617431598</v>
      </c>
      <c r="AA109">
        <v>2018</v>
      </c>
      <c r="AB109">
        <v>2019</v>
      </c>
      <c r="AC109">
        <v>1</v>
      </c>
      <c r="AD109">
        <v>1</v>
      </c>
      <c r="AE109">
        <v>1</v>
      </c>
      <c r="AF109">
        <v>1</v>
      </c>
      <c r="AG109">
        <v>2</v>
      </c>
      <c r="AH109">
        <v>1</v>
      </c>
      <c r="AJ109">
        <v>0.65549880266189575</v>
      </c>
      <c r="AK109">
        <v>0.77473336458206177</v>
      </c>
      <c r="AL109">
        <v>9.6032574999999995E-2</v>
      </c>
      <c r="AM109">
        <f>VLOOKUP(D109,[1]Sheet1!$C$1:$D$191,2,FALSE)</f>
        <v>12</v>
      </c>
    </row>
    <row r="110" spans="1:39" x14ac:dyDescent="0.35">
      <c r="A110">
        <v>2012</v>
      </c>
      <c r="B110" t="s">
        <v>17</v>
      </c>
      <c r="C110">
        <v>13</v>
      </c>
      <c r="D110" t="s">
        <v>222</v>
      </c>
      <c r="E110">
        <v>12097641.483864</v>
      </c>
      <c r="F110">
        <v>866651.44200000004</v>
      </c>
      <c r="G110">
        <v>12964292.925863998</v>
      </c>
      <c r="H110">
        <v>1158267740706.22</v>
      </c>
      <c r="I110">
        <v>1330994811670.3101</v>
      </c>
      <c r="J110">
        <v>-2.8651136729100711E-2</v>
      </c>
      <c r="K110">
        <v>24763.5682703688</v>
      </c>
      <c r="L110">
        <v>-2.9281589642462302E-2</v>
      </c>
      <c r="M110">
        <v>25510.5579601069</v>
      </c>
      <c r="N110">
        <v>2.4461278236680899</v>
      </c>
      <c r="O110">
        <v>60.554034696186399</v>
      </c>
      <c r="P110">
        <v>157.434331694924</v>
      </c>
      <c r="Q110">
        <v>38.319381754578302</v>
      </c>
      <c r="R110">
        <v>46773055</v>
      </c>
      <c r="S110">
        <v>6.4947044027005975E-4</v>
      </c>
      <c r="T110">
        <v>47.921999999999997</v>
      </c>
      <c r="U110">
        <v>8.02</v>
      </c>
      <c r="V110">
        <v>136.14472000000001</v>
      </c>
      <c r="W110">
        <v>1.7159409999999999</v>
      </c>
      <c r="X110">
        <v>56.88147</v>
      </c>
      <c r="Y110">
        <v>69.81</v>
      </c>
      <c r="Z110">
        <v>82.89208984375</v>
      </c>
      <c r="AA110">
        <v>2018</v>
      </c>
      <c r="AB110">
        <v>2019</v>
      </c>
      <c r="AC110">
        <v>0</v>
      </c>
      <c r="AD110">
        <v>0</v>
      </c>
      <c r="AE110">
        <v>1</v>
      </c>
      <c r="AF110">
        <v>1</v>
      </c>
      <c r="AJ110">
        <v>1.037798285484314</v>
      </c>
      <c r="AK110">
        <v>0.9471549391746521</v>
      </c>
      <c r="AL110">
        <v>8.9689899999999989E-2</v>
      </c>
      <c r="AM110">
        <f>VLOOKUP(D110,[1]Sheet1!$C$1:$D$191,2,FALSE)</f>
        <v>13</v>
      </c>
    </row>
    <row r="111" spans="1:39" x14ac:dyDescent="0.35">
      <c r="A111">
        <v>2013</v>
      </c>
      <c r="B111" t="s">
        <v>17</v>
      </c>
      <c r="C111">
        <v>13</v>
      </c>
      <c r="D111" t="s">
        <v>222</v>
      </c>
      <c r="E111">
        <v>33236275.90922099</v>
      </c>
      <c r="F111">
        <v>3748904.0828999998</v>
      </c>
      <c r="G111">
        <v>36985179.992120996</v>
      </c>
      <c r="H111">
        <v>1141735528202.4399</v>
      </c>
      <c r="I111">
        <v>1362186923157.6499</v>
      </c>
      <c r="J111">
        <v>-1.4273221918189654E-2</v>
      </c>
      <c r="K111">
        <v>24490.2279309777</v>
      </c>
      <c r="L111">
        <v>-1.1038002940721943E-2</v>
      </c>
      <c r="M111">
        <v>24763.5682703688</v>
      </c>
      <c r="N111">
        <v>1.40858109183019</v>
      </c>
      <c r="O111">
        <v>61.668772644132702</v>
      </c>
      <c r="P111">
        <v>145.75957537254399</v>
      </c>
      <c r="Q111">
        <v>35.585266737645902</v>
      </c>
      <c r="R111">
        <v>46620045</v>
      </c>
      <c r="S111">
        <v>-3.2713279044954409E-3</v>
      </c>
      <c r="T111">
        <v>47.103000000000002</v>
      </c>
      <c r="U111">
        <v>8.02</v>
      </c>
      <c r="V111">
        <v>130.72730999999999</v>
      </c>
      <c r="W111">
        <v>1.3360970000000001</v>
      </c>
      <c r="X111">
        <v>62.100349999999999</v>
      </c>
      <c r="Y111">
        <v>71.635000000000005</v>
      </c>
      <c r="Z111">
        <v>85.2132568359375</v>
      </c>
      <c r="AA111">
        <v>2018</v>
      </c>
      <c r="AB111">
        <v>2019</v>
      </c>
      <c r="AC111">
        <v>0</v>
      </c>
      <c r="AD111">
        <v>0</v>
      </c>
      <c r="AE111">
        <v>1</v>
      </c>
      <c r="AF111">
        <v>1</v>
      </c>
      <c r="AJ111">
        <v>1.025371670722961</v>
      </c>
      <c r="AK111">
        <v>0.93268072605133057</v>
      </c>
      <c r="AL111">
        <v>3.91648E-2</v>
      </c>
      <c r="AM111">
        <f>VLOOKUP(D111,[1]Sheet1!$C$1:$D$191,2,FALSE)</f>
        <v>13</v>
      </c>
    </row>
    <row r="112" spans="1:39" x14ac:dyDescent="0.35">
      <c r="A112">
        <v>2014</v>
      </c>
      <c r="B112" t="s">
        <v>17</v>
      </c>
      <c r="C112">
        <v>13</v>
      </c>
      <c r="D112" t="s">
        <v>222</v>
      </c>
      <c r="E112">
        <v>24845885.083110001</v>
      </c>
      <c r="F112">
        <v>19797754.059999999</v>
      </c>
      <c r="G112">
        <v>44723350.943109997</v>
      </c>
      <c r="H112">
        <v>1159095456184.3401</v>
      </c>
      <c r="I112">
        <v>1380244561361.96</v>
      </c>
      <c r="J112">
        <v>1.5204859227978824E-2</v>
      </c>
      <c r="K112">
        <v>24937.036611834101</v>
      </c>
      <c r="L112">
        <v>1.8244365961626343E-2</v>
      </c>
      <c r="M112">
        <v>24490.2279309777</v>
      </c>
      <c r="N112">
        <v>-0.15111483752723501</v>
      </c>
      <c r="O112">
        <v>63.39926213895</v>
      </c>
      <c r="P112">
        <v>129.358996447371</v>
      </c>
      <c r="Q112">
        <v>34.5771544127768</v>
      </c>
      <c r="R112">
        <v>46480882</v>
      </c>
      <c r="S112">
        <v>-2.9850464537303644E-3</v>
      </c>
      <c r="T112">
        <v>51.472000000000001</v>
      </c>
      <c r="U112">
        <v>8.0500000000000007</v>
      </c>
      <c r="V112">
        <v>118.66468999999999</v>
      </c>
      <c r="W112">
        <v>1.3109820000000001</v>
      </c>
      <c r="X112">
        <v>63.493929999999999</v>
      </c>
      <c r="Y112">
        <v>76.186700000000002</v>
      </c>
      <c r="Z112">
        <v>88.001556396484403</v>
      </c>
      <c r="AA112">
        <v>2018</v>
      </c>
      <c r="AB112">
        <v>2019</v>
      </c>
      <c r="AC112">
        <v>0</v>
      </c>
      <c r="AD112">
        <v>0</v>
      </c>
      <c r="AE112">
        <v>1</v>
      </c>
      <c r="AF112">
        <v>1</v>
      </c>
      <c r="AJ112">
        <v>0.96645593643188477</v>
      </c>
      <c r="AK112">
        <v>0.74645406007766724</v>
      </c>
      <c r="AL112">
        <v>4.5123450000000002E-2</v>
      </c>
      <c r="AM112">
        <f>VLOOKUP(D112,[1]Sheet1!$C$1:$D$191,2,FALSE)</f>
        <v>13</v>
      </c>
    </row>
    <row r="113" spans="1:39" x14ac:dyDescent="0.35">
      <c r="A113">
        <v>2015</v>
      </c>
      <c r="B113" t="s">
        <v>17</v>
      </c>
      <c r="C113">
        <v>13</v>
      </c>
      <c r="D113" t="s">
        <v>222</v>
      </c>
      <c r="E113">
        <v>20209346.522697959</v>
      </c>
      <c r="F113">
        <v>32458656.525985971</v>
      </c>
      <c r="G113">
        <v>52668003.048683934</v>
      </c>
      <c r="H113">
        <v>1206164777553.1201</v>
      </c>
      <c r="I113">
        <v>1206164777553.1201</v>
      </c>
      <c r="J113">
        <v>4.0608666971854841E-2</v>
      </c>
      <c r="K113">
        <v>25969.838313832701</v>
      </c>
      <c r="L113">
        <v>4.141637669603751E-2</v>
      </c>
      <c r="M113">
        <v>24937.036611834101</v>
      </c>
      <c r="N113">
        <v>-0.50036570990324203</v>
      </c>
      <c r="O113">
        <v>63.5820412248232</v>
      </c>
      <c r="P113">
        <v>118.216890256018</v>
      </c>
      <c r="Q113">
        <v>32.919607179389097</v>
      </c>
      <c r="R113">
        <v>46444832</v>
      </c>
      <c r="S113">
        <v>-7.755876921612632E-4</v>
      </c>
      <c r="T113">
        <v>50.942999999999998</v>
      </c>
      <c r="U113">
        <v>8.3000000000000007</v>
      </c>
      <c r="V113">
        <v>116.77661000000001</v>
      </c>
      <c r="W113">
        <v>1.0145770000000001</v>
      </c>
      <c r="X113">
        <v>58.353960000000001</v>
      </c>
      <c r="Y113">
        <v>78.689599999999999</v>
      </c>
      <c r="Z113">
        <v>88.574249267578097</v>
      </c>
      <c r="AA113">
        <v>2018</v>
      </c>
      <c r="AB113">
        <v>2019</v>
      </c>
      <c r="AC113">
        <v>0</v>
      </c>
      <c r="AD113">
        <v>0</v>
      </c>
      <c r="AE113">
        <v>1</v>
      </c>
      <c r="AF113">
        <v>1</v>
      </c>
      <c r="AJ113">
        <v>0.88606685400009155</v>
      </c>
      <c r="AK113">
        <v>0.79149788618087769</v>
      </c>
      <c r="AL113">
        <v>7.6127600000000004E-2</v>
      </c>
      <c r="AM113">
        <f>VLOOKUP(D113,[1]Sheet1!$C$1:$D$191,2,FALSE)</f>
        <v>13</v>
      </c>
    </row>
    <row r="114" spans="1:39" x14ac:dyDescent="0.35">
      <c r="A114">
        <v>2016</v>
      </c>
      <c r="B114" t="s">
        <v>17</v>
      </c>
      <c r="C114">
        <v>13</v>
      </c>
      <c r="D114" t="s">
        <v>222</v>
      </c>
      <c r="E114">
        <v>58465666.877919778</v>
      </c>
      <c r="F114">
        <v>86388937.789145991</v>
      </c>
      <c r="G114">
        <v>144854604.6670658</v>
      </c>
      <c r="H114">
        <v>1241326362774.5601</v>
      </c>
      <c r="I114">
        <v>1243015667917.1201</v>
      </c>
      <c r="J114">
        <v>2.9151560280818601E-2</v>
      </c>
      <c r="K114">
        <v>26704.343582851299</v>
      </c>
      <c r="L114">
        <v>2.8283012783617063E-2</v>
      </c>
      <c r="M114">
        <v>25969.838313832701</v>
      </c>
      <c r="N114">
        <v>-0.20259800042645201</v>
      </c>
      <c r="O114">
        <v>63.188677850729398</v>
      </c>
      <c r="P114">
        <v>110.901834158974</v>
      </c>
      <c r="Q114">
        <v>32.432386704150701</v>
      </c>
      <c r="R114">
        <v>46484062</v>
      </c>
      <c r="S114">
        <v>8.4465802352347839E-4</v>
      </c>
      <c r="T114">
        <v>49.575000000000003</v>
      </c>
      <c r="U114">
        <v>8.3000000000000007</v>
      </c>
      <c r="V114">
        <v>113.04499</v>
      </c>
      <c r="W114">
        <v>1.0247599999999999</v>
      </c>
      <c r="X114">
        <v>59.37997</v>
      </c>
      <c r="Y114">
        <v>80.561300000000003</v>
      </c>
      <c r="Z114">
        <v>89.806777954101605</v>
      </c>
      <c r="AA114">
        <v>2018</v>
      </c>
      <c r="AB114">
        <v>2019</v>
      </c>
      <c r="AC114">
        <v>0</v>
      </c>
      <c r="AD114">
        <v>0</v>
      </c>
      <c r="AE114">
        <v>1</v>
      </c>
      <c r="AF114">
        <v>1</v>
      </c>
      <c r="AJ114">
        <v>0.96535289287567139</v>
      </c>
      <c r="AK114">
        <v>0.99648380279541016</v>
      </c>
      <c r="AL114">
        <v>0.137187325</v>
      </c>
      <c r="AM114">
        <f>VLOOKUP(D114,[1]Sheet1!$C$1:$D$191,2,FALSE)</f>
        <v>13</v>
      </c>
    </row>
    <row r="115" spans="1:39" x14ac:dyDescent="0.35">
      <c r="A115">
        <v>2017</v>
      </c>
      <c r="B115" t="s">
        <v>17</v>
      </c>
      <c r="C115">
        <v>13</v>
      </c>
      <c r="D115" t="s">
        <v>222</v>
      </c>
      <c r="E115">
        <v>41838436.909848481</v>
      </c>
      <c r="F115">
        <v>139782457.36034009</v>
      </c>
      <c r="G115">
        <v>181620894.27018854</v>
      </c>
      <c r="H115">
        <v>1277275696600.78</v>
      </c>
      <c r="I115">
        <v>1321754088818.8301</v>
      </c>
      <c r="J115">
        <v>2.8960420808164859E-2</v>
      </c>
      <c r="K115">
        <v>27413.328763015699</v>
      </c>
      <c r="L115">
        <v>2.6549432977625714E-2</v>
      </c>
      <c r="M115">
        <v>26704.343582851299</v>
      </c>
      <c r="N115">
        <v>1.9560763336396301</v>
      </c>
      <c r="O115">
        <v>66.167446137856999</v>
      </c>
      <c r="P115">
        <v>105.15698823272</v>
      </c>
      <c r="Q115">
        <v>31.634308356067901</v>
      </c>
      <c r="R115">
        <v>46593236</v>
      </c>
      <c r="S115">
        <v>2.3486329572488737E-3</v>
      </c>
      <c r="T115">
        <v>49.034999999999997</v>
      </c>
      <c r="U115">
        <v>8.08</v>
      </c>
      <c r="V115">
        <v>111.80481</v>
      </c>
      <c r="W115">
        <v>1.1244000000000001</v>
      </c>
      <c r="X115">
        <v>58.785110000000003</v>
      </c>
      <c r="Y115">
        <v>84.602199999999996</v>
      </c>
      <c r="Z115">
        <v>91.887741088867202</v>
      </c>
      <c r="AA115">
        <v>2018</v>
      </c>
      <c r="AB115">
        <v>2019</v>
      </c>
      <c r="AC115">
        <v>0</v>
      </c>
      <c r="AD115">
        <v>0</v>
      </c>
      <c r="AE115">
        <v>1</v>
      </c>
      <c r="AF115">
        <v>1</v>
      </c>
      <c r="AJ115">
        <v>1.0243538618087771</v>
      </c>
      <c r="AK115">
        <v>0.93076121807098389</v>
      </c>
      <c r="AL115">
        <v>0.106686325</v>
      </c>
      <c r="AM115">
        <f>VLOOKUP(D115,[1]Sheet1!$C$1:$D$191,2,FALSE)</f>
        <v>13</v>
      </c>
    </row>
    <row r="116" spans="1:39" x14ac:dyDescent="0.35">
      <c r="A116">
        <v>2018</v>
      </c>
      <c r="B116" t="s">
        <v>17</v>
      </c>
      <c r="C116">
        <v>13</v>
      </c>
      <c r="D116" t="s">
        <v>222</v>
      </c>
      <c r="E116">
        <v>71387962.176824003</v>
      </c>
      <c r="F116">
        <v>347651950.55789351</v>
      </c>
      <c r="G116">
        <v>419040208.02221751</v>
      </c>
      <c r="H116">
        <v>1307871701738.5601</v>
      </c>
      <c r="I116">
        <v>1431642809327.0601</v>
      </c>
      <c r="J116">
        <v>2.3954112036426691E-2</v>
      </c>
      <c r="K116">
        <v>27947.317765261902</v>
      </c>
      <c r="L116">
        <v>1.9479174049326906E-2</v>
      </c>
      <c r="M116">
        <v>27413.328763015699</v>
      </c>
      <c r="N116">
        <v>1.6749813686379</v>
      </c>
      <c r="O116">
        <v>67.009410398292104</v>
      </c>
      <c r="P116">
        <v>98.829886923439901</v>
      </c>
      <c r="Q116">
        <v>32.033711795003804</v>
      </c>
      <c r="R116">
        <v>46797754</v>
      </c>
      <c r="S116">
        <v>4.3894354107536122E-3</v>
      </c>
      <c r="T116">
        <v>48.201000000000001</v>
      </c>
      <c r="U116">
        <v>8.08</v>
      </c>
      <c r="V116">
        <v>108.49672</v>
      </c>
      <c r="W116">
        <v>1.0391550000000001</v>
      </c>
      <c r="X116">
        <v>64.937479999999994</v>
      </c>
      <c r="Y116">
        <v>86.107200000000006</v>
      </c>
      <c r="Z116">
        <v>92.174888610839801</v>
      </c>
      <c r="AA116">
        <v>2018</v>
      </c>
      <c r="AB116">
        <v>2019</v>
      </c>
      <c r="AC116">
        <v>1</v>
      </c>
      <c r="AD116">
        <v>0</v>
      </c>
      <c r="AE116">
        <v>1</v>
      </c>
      <c r="AF116">
        <v>1</v>
      </c>
      <c r="AG116">
        <v>0</v>
      </c>
      <c r="AJ116">
        <v>0.97809410095214844</v>
      </c>
      <c r="AK116">
        <v>0.93815416097640991</v>
      </c>
      <c r="AL116">
        <v>0.1092897</v>
      </c>
      <c r="AM116">
        <f>VLOOKUP(D116,[1]Sheet1!$C$1:$D$191,2,FALSE)</f>
        <v>13</v>
      </c>
    </row>
    <row r="117" spans="1:39" x14ac:dyDescent="0.35">
      <c r="A117">
        <v>2019</v>
      </c>
      <c r="B117" t="s">
        <v>17</v>
      </c>
      <c r="C117">
        <v>13</v>
      </c>
      <c r="D117" t="s">
        <v>222</v>
      </c>
      <c r="E117">
        <v>97209870.549435437</v>
      </c>
      <c r="F117">
        <v>513263459.60443878</v>
      </c>
      <c r="G117">
        <v>610473330.15387428</v>
      </c>
      <c r="H117">
        <v>1333521400772.79</v>
      </c>
      <c r="I117">
        <v>1403496387686.27</v>
      </c>
      <c r="J117">
        <v>1.9611785315129696E-2</v>
      </c>
      <c r="K117">
        <v>28291.630684387299</v>
      </c>
      <c r="L117">
        <v>1.2320070284289438E-2</v>
      </c>
      <c r="M117">
        <v>27947.317765261902</v>
      </c>
      <c r="N117">
        <v>0.699518994458739</v>
      </c>
      <c r="O117">
        <v>66.366225044069196</v>
      </c>
      <c r="P117">
        <v>94.411626293161902</v>
      </c>
      <c r="Q117">
        <v>32.114922908806697</v>
      </c>
      <c r="R117">
        <v>47134837</v>
      </c>
      <c r="S117">
        <v>7.202973886310869E-3</v>
      </c>
      <c r="T117">
        <v>47.466000000000001</v>
      </c>
      <c r="U117">
        <v>8.2899999999999991</v>
      </c>
      <c r="V117">
        <v>106.17708</v>
      </c>
      <c r="W117">
        <v>1.0470660000000001</v>
      </c>
      <c r="X117">
        <v>63.389830000000003</v>
      </c>
      <c r="Y117">
        <v>90.718699999999998</v>
      </c>
      <c r="Z117">
        <v>91.020263671875</v>
      </c>
      <c r="AA117">
        <v>2018</v>
      </c>
      <c r="AB117">
        <v>2019</v>
      </c>
      <c r="AC117">
        <v>1</v>
      </c>
      <c r="AD117">
        <v>1</v>
      </c>
      <c r="AE117">
        <v>1</v>
      </c>
      <c r="AF117">
        <v>1</v>
      </c>
      <c r="AG117">
        <v>1</v>
      </c>
      <c r="AH117">
        <v>0</v>
      </c>
      <c r="AJ117">
        <v>0.99019217491149902</v>
      </c>
      <c r="AK117">
        <v>1.0372645854949949</v>
      </c>
      <c r="AL117">
        <v>0.13571649999999999</v>
      </c>
      <c r="AM117">
        <f>VLOOKUP(D117,[1]Sheet1!$C$1:$D$191,2,FALSE)</f>
        <v>13</v>
      </c>
    </row>
    <row r="118" spans="1:39" x14ac:dyDescent="0.35">
      <c r="A118">
        <v>2020</v>
      </c>
      <c r="B118" t="s">
        <v>17</v>
      </c>
      <c r="C118">
        <v>13</v>
      </c>
      <c r="D118" t="s">
        <v>222</v>
      </c>
      <c r="E118">
        <v>102509675.7792777</v>
      </c>
      <c r="F118">
        <v>584365967.77733183</v>
      </c>
      <c r="G118">
        <v>686875643.55660963</v>
      </c>
      <c r="H118">
        <v>1187633217272.8799</v>
      </c>
      <c r="I118">
        <v>1289783836971.21</v>
      </c>
      <c r="J118">
        <v>-0.10940070659186001</v>
      </c>
      <c r="K118">
        <v>25073.720975100499</v>
      </c>
      <c r="L118">
        <v>-0.11374069403014649</v>
      </c>
      <c r="M118">
        <v>28291.630684387299</v>
      </c>
      <c r="N118">
        <v>-0.32275301729973899</v>
      </c>
      <c r="O118">
        <v>59.446128014707597</v>
      </c>
      <c r="P118">
        <v>107.572523897153</v>
      </c>
      <c r="Q118">
        <v>40.683608244318599</v>
      </c>
      <c r="R118">
        <v>47365655</v>
      </c>
      <c r="S118">
        <v>4.8969724876740317E-3</v>
      </c>
      <c r="T118">
        <v>45.256</v>
      </c>
      <c r="U118">
        <v>8.1199999999999992</v>
      </c>
      <c r="V118">
        <v>103.40167</v>
      </c>
      <c r="W118">
        <v>1.0590390000000001</v>
      </c>
      <c r="X118">
        <v>63.761279999999999</v>
      </c>
      <c r="Y118">
        <v>93.205600000000004</v>
      </c>
      <c r="Z118">
        <v>90.954849243164105</v>
      </c>
      <c r="AA118">
        <v>2018</v>
      </c>
      <c r="AB118">
        <v>2019</v>
      </c>
      <c r="AC118">
        <v>1</v>
      </c>
      <c r="AD118">
        <v>1</v>
      </c>
      <c r="AE118">
        <v>1</v>
      </c>
      <c r="AF118">
        <v>1</v>
      </c>
      <c r="AG118">
        <v>2</v>
      </c>
      <c r="AH118">
        <v>1</v>
      </c>
      <c r="AI118">
        <v>1</v>
      </c>
      <c r="AJ118">
        <v>0.86096447706222534</v>
      </c>
      <c r="AK118">
        <v>0.75544911623001099</v>
      </c>
      <c r="AL118">
        <v>0.116511775</v>
      </c>
      <c r="AM118">
        <f>VLOOKUP(D118,[1]Sheet1!$C$1:$D$191,2,FALSE)</f>
        <v>13</v>
      </c>
    </row>
    <row r="119" spans="1:39" x14ac:dyDescent="0.35">
      <c r="A119">
        <v>2012</v>
      </c>
      <c r="B119" t="s">
        <v>18</v>
      </c>
      <c r="C119">
        <v>14</v>
      </c>
      <c r="D119" t="s">
        <v>223</v>
      </c>
      <c r="F119">
        <v>32145825</v>
      </c>
      <c r="G119">
        <v>32210116.649999999</v>
      </c>
      <c r="H119">
        <v>464439473181.12799</v>
      </c>
      <c r="I119">
        <v>549742183874.35498</v>
      </c>
      <c r="J119">
        <v>-4.144657210707935E-3</v>
      </c>
      <c r="K119">
        <v>48788.867123103701</v>
      </c>
      <c r="L119">
        <v>-1.1484447275205784E-2</v>
      </c>
      <c r="M119">
        <v>49355.689941973702</v>
      </c>
      <c r="N119">
        <v>0.88837750692363804</v>
      </c>
      <c r="O119">
        <v>85.297671211691593</v>
      </c>
      <c r="P119">
        <v>128.74089276662301</v>
      </c>
      <c r="Q119">
        <v>33.008565954412298</v>
      </c>
      <c r="R119">
        <v>9519374</v>
      </c>
      <c r="S119">
        <v>7.4250628068178804E-3</v>
      </c>
      <c r="T119">
        <v>46.756</v>
      </c>
      <c r="U119">
        <v>9.73</v>
      </c>
      <c r="V119">
        <v>885.77266999999995</v>
      </c>
      <c r="W119">
        <v>1.6551750000000001</v>
      </c>
      <c r="X119">
        <v>93.104020000000006</v>
      </c>
      <c r="Y119">
        <v>93.18</v>
      </c>
      <c r="Z119">
        <v>68.742301940917997</v>
      </c>
      <c r="AA119">
        <v>2018</v>
      </c>
      <c r="AB119">
        <v>2019</v>
      </c>
      <c r="AC119">
        <v>0</v>
      </c>
      <c r="AD119">
        <v>0</v>
      </c>
      <c r="AE119">
        <v>1</v>
      </c>
      <c r="AF119">
        <v>1</v>
      </c>
      <c r="AJ119">
        <v>1.9282776117324829</v>
      </c>
      <c r="AK119">
        <v>1.9000388383865361</v>
      </c>
      <c r="AL119">
        <v>9.9893349999999992E-2</v>
      </c>
      <c r="AM119">
        <f>VLOOKUP(D119,[1]Sheet1!$C$1:$D$191,2,FALSE)</f>
        <v>14</v>
      </c>
    </row>
    <row r="120" spans="1:39" x14ac:dyDescent="0.35">
      <c r="A120">
        <v>2013</v>
      </c>
      <c r="B120" t="s">
        <v>18</v>
      </c>
      <c r="C120">
        <v>14</v>
      </c>
      <c r="D120" t="s">
        <v>223</v>
      </c>
      <c r="E120">
        <v>3585942.9</v>
      </c>
      <c r="F120">
        <v>92968890</v>
      </c>
      <c r="G120">
        <v>96674364.329999998</v>
      </c>
      <c r="H120">
        <v>469723477690.599</v>
      </c>
      <c r="I120">
        <v>584128116410.29004</v>
      </c>
      <c r="J120">
        <v>1.137716497970939E-2</v>
      </c>
      <c r="K120">
        <v>48927.597305335403</v>
      </c>
      <c r="L120">
        <v>2.8434802940117314E-3</v>
      </c>
      <c r="M120">
        <v>48788.867123103701</v>
      </c>
      <c r="N120">
        <v>-4.4292970148585797E-2</v>
      </c>
      <c r="O120">
        <v>81.639813361072299</v>
      </c>
      <c r="P120">
        <v>131.022387945947</v>
      </c>
      <c r="Q120">
        <v>33.7230755160192</v>
      </c>
      <c r="R120">
        <v>9600379</v>
      </c>
      <c r="S120">
        <v>8.5094881239039452E-3</v>
      </c>
      <c r="T120">
        <v>46.423000000000002</v>
      </c>
      <c r="U120">
        <v>9.73</v>
      </c>
      <c r="V120">
        <v>826.82415000000003</v>
      </c>
      <c r="W120">
        <v>1.6813800000000001</v>
      </c>
      <c r="X120">
        <v>91.958799999999997</v>
      </c>
      <c r="Y120">
        <v>94.783600000000007</v>
      </c>
      <c r="Z120">
        <v>65.782089233398395</v>
      </c>
      <c r="AA120">
        <v>2018</v>
      </c>
      <c r="AB120">
        <v>2019</v>
      </c>
      <c r="AC120">
        <v>0</v>
      </c>
      <c r="AD120">
        <v>0</v>
      </c>
      <c r="AE120">
        <v>1</v>
      </c>
      <c r="AF120">
        <v>1</v>
      </c>
      <c r="AJ120">
        <v>1.9505981206893921</v>
      </c>
      <c r="AK120">
        <v>1.895466685295105</v>
      </c>
      <c r="AL120">
        <v>7.976527500000001E-2</v>
      </c>
      <c r="AM120">
        <f>VLOOKUP(D120,[1]Sheet1!$C$1:$D$191,2,FALSE)</f>
        <v>14</v>
      </c>
    </row>
    <row r="121" spans="1:39" x14ac:dyDescent="0.35">
      <c r="A121">
        <v>2014</v>
      </c>
      <c r="B121" t="s">
        <v>18</v>
      </c>
      <c r="C121">
        <v>14</v>
      </c>
      <c r="D121" t="s">
        <v>223</v>
      </c>
      <c r="E121">
        <v>4782708</v>
      </c>
      <c r="F121">
        <v>132853000</v>
      </c>
      <c r="G121">
        <v>137795131.59999999</v>
      </c>
      <c r="H121">
        <v>480507219292.52002</v>
      </c>
      <c r="I121">
        <v>577730245154.16199</v>
      </c>
      <c r="J121">
        <v>2.2957638087283634E-2</v>
      </c>
      <c r="K121">
        <v>49556.700500769897</v>
      </c>
      <c r="L121">
        <v>1.2857839544184865E-2</v>
      </c>
      <c r="M121">
        <v>48927.597305335403</v>
      </c>
      <c r="N121">
        <v>-0.17963849411463501</v>
      </c>
      <c r="O121">
        <v>83.822646765646994</v>
      </c>
      <c r="P121">
        <v>130.317333651556</v>
      </c>
      <c r="Q121">
        <v>33.257049062702499</v>
      </c>
      <c r="R121">
        <v>9696110</v>
      </c>
      <c r="S121">
        <v>9.9715854967809079E-3</v>
      </c>
      <c r="T121">
        <v>47.226999999999997</v>
      </c>
      <c r="U121">
        <v>9.73</v>
      </c>
      <c r="V121">
        <v>813.22298999999998</v>
      </c>
      <c r="W121">
        <v>1.4479949999999999</v>
      </c>
      <c r="X121">
        <v>91.556250000000006</v>
      </c>
      <c r="Y121">
        <v>92.523600000000002</v>
      </c>
      <c r="Z121">
        <v>64.954193115234403</v>
      </c>
      <c r="AA121">
        <v>2018</v>
      </c>
      <c r="AB121">
        <v>2019</v>
      </c>
      <c r="AC121">
        <v>0</v>
      </c>
      <c r="AD121">
        <v>0</v>
      </c>
      <c r="AE121">
        <v>1</v>
      </c>
      <c r="AF121">
        <v>1</v>
      </c>
      <c r="AJ121">
        <v>1.975145101547241</v>
      </c>
      <c r="AK121">
        <v>1.8051632642745969</v>
      </c>
      <c r="AL121">
        <v>0.13071854999999999</v>
      </c>
      <c r="AM121">
        <f>VLOOKUP(D121,[1]Sheet1!$C$1:$D$191,2,FALSE)</f>
        <v>14</v>
      </c>
    </row>
    <row r="122" spans="1:39" x14ac:dyDescent="0.35">
      <c r="A122">
        <v>2015</v>
      </c>
      <c r="B122" t="s">
        <v>18</v>
      </c>
      <c r="C122">
        <v>14</v>
      </c>
      <c r="D122" t="s">
        <v>223</v>
      </c>
      <c r="E122">
        <v>12309627.387844989</v>
      </c>
      <c r="F122">
        <v>2514732.1893999991</v>
      </c>
      <c r="G122">
        <v>14824359.577244988</v>
      </c>
      <c r="H122">
        <v>501698263620.66302</v>
      </c>
      <c r="I122">
        <v>501698263620.66302</v>
      </c>
      <c r="J122">
        <v>4.4101406757933559E-2</v>
      </c>
      <c r="K122">
        <v>51197.9529341175</v>
      </c>
      <c r="L122">
        <v>3.3118678539183717E-2</v>
      </c>
      <c r="M122">
        <v>49556.700500769897</v>
      </c>
      <c r="N122">
        <v>-4.6784744983281203E-2</v>
      </c>
      <c r="O122">
        <v>84.157173931794105</v>
      </c>
      <c r="P122">
        <v>127.49303183438499</v>
      </c>
      <c r="Q122">
        <v>32.352634669622098</v>
      </c>
      <c r="R122">
        <v>9799186</v>
      </c>
      <c r="S122">
        <v>1.063065497400504E-2</v>
      </c>
      <c r="T122">
        <v>47.308</v>
      </c>
      <c r="U122">
        <v>9.4499999999999993</v>
      </c>
      <c r="V122">
        <v>814.92011000000002</v>
      </c>
      <c r="W122">
        <v>1.119969</v>
      </c>
      <c r="X122">
        <v>92.172229999999999</v>
      </c>
      <c r="Y122">
        <v>90.610200000000006</v>
      </c>
      <c r="Z122">
        <v>66.428321838378906</v>
      </c>
      <c r="AA122">
        <v>2018</v>
      </c>
      <c r="AB122">
        <v>2019</v>
      </c>
      <c r="AC122">
        <v>0</v>
      </c>
      <c r="AD122">
        <v>0</v>
      </c>
      <c r="AE122">
        <v>1</v>
      </c>
      <c r="AF122">
        <v>1</v>
      </c>
      <c r="AJ122">
        <v>1.990329384803772</v>
      </c>
      <c r="AK122">
        <v>1.803804874420166</v>
      </c>
      <c r="AL122">
        <v>0.11979522500000001</v>
      </c>
      <c r="AM122">
        <f>VLOOKUP(D122,[1]Sheet1!$C$1:$D$191,2,FALSE)</f>
        <v>14</v>
      </c>
    </row>
    <row r="123" spans="1:39" x14ac:dyDescent="0.35">
      <c r="A123">
        <v>2016</v>
      </c>
      <c r="B123" t="s">
        <v>18</v>
      </c>
      <c r="C123">
        <v>14</v>
      </c>
      <c r="D123" t="s">
        <v>223</v>
      </c>
      <c r="E123">
        <v>88770744.708464772</v>
      </c>
      <c r="F123">
        <v>6934236.0894780001</v>
      </c>
      <c r="G123">
        <v>95704980.797942787</v>
      </c>
      <c r="H123">
        <v>513486872435.54999</v>
      </c>
      <c r="I123">
        <v>514218206628.32501</v>
      </c>
      <c r="J123">
        <v>2.3497408043254456E-2</v>
      </c>
      <c r="K123">
        <v>51746.696963247799</v>
      </c>
      <c r="L123">
        <v>1.0718085346819109E-2</v>
      </c>
      <c r="M123">
        <v>51197.9529341175</v>
      </c>
      <c r="N123">
        <v>0.98426924457799203</v>
      </c>
      <c r="O123">
        <v>83.263800749171196</v>
      </c>
      <c r="P123">
        <v>128.88099934313499</v>
      </c>
      <c r="Q123">
        <v>32.036540039230204</v>
      </c>
      <c r="R123">
        <v>9923085</v>
      </c>
      <c r="S123">
        <v>1.264380531199224E-2</v>
      </c>
      <c r="T123">
        <v>47.116999999999997</v>
      </c>
      <c r="U123">
        <v>9.39</v>
      </c>
      <c r="V123">
        <v>697.64539000000002</v>
      </c>
      <c r="W123">
        <v>1.1184700000000001</v>
      </c>
      <c r="X123">
        <v>91.657910000000001</v>
      </c>
      <c r="Y123">
        <v>89.650899999999993</v>
      </c>
      <c r="Z123">
        <v>68.306037902832003</v>
      </c>
      <c r="AA123">
        <v>2018</v>
      </c>
      <c r="AB123">
        <v>2019</v>
      </c>
      <c r="AC123">
        <v>0</v>
      </c>
      <c r="AD123">
        <v>0</v>
      </c>
      <c r="AE123">
        <v>1</v>
      </c>
      <c r="AF123">
        <v>1</v>
      </c>
      <c r="AJ123">
        <v>1.9522848129272461</v>
      </c>
      <c r="AK123">
        <v>1.84277331829071</v>
      </c>
      <c r="AL123">
        <v>0.11671242499999999</v>
      </c>
      <c r="AM123">
        <f>VLOOKUP(D123,[1]Sheet1!$C$1:$D$191,2,FALSE)</f>
        <v>14</v>
      </c>
    </row>
    <row r="124" spans="1:39" x14ac:dyDescent="0.35">
      <c r="A124">
        <v>2017</v>
      </c>
      <c r="B124" t="s">
        <v>18</v>
      </c>
      <c r="C124">
        <v>14</v>
      </c>
      <c r="D124" t="s">
        <v>223</v>
      </c>
      <c r="E124">
        <v>99528914.195709914</v>
      </c>
      <c r="F124">
        <v>122361276.0938732</v>
      </c>
      <c r="G124">
        <v>221890190.28958309</v>
      </c>
      <c r="H124">
        <v>522858808973.771</v>
      </c>
      <c r="I124">
        <v>536083940228.68402</v>
      </c>
      <c r="J124">
        <v>1.8251560149470658E-2</v>
      </c>
      <c r="K124">
        <v>51985.932464245001</v>
      </c>
      <c r="L124">
        <v>4.6232033160901942E-3</v>
      </c>
      <c r="M124">
        <v>51746.696963247799</v>
      </c>
      <c r="N124">
        <v>1.7944990466558901</v>
      </c>
      <c r="O124">
        <v>85.921250420311793</v>
      </c>
      <c r="P124">
        <v>132.490229454798</v>
      </c>
      <c r="Q124">
        <v>31.9272025376033</v>
      </c>
      <c r="R124">
        <v>10057698</v>
      </c>
      <c r="S124">
        <v>1.35656401209906E-2</v>
      </c>
      <c r="T124">
        <v>48.2</v>
      </c>
      <c r="U124">
        <v>9.39</v>
      </c>
      <c r="V124">
        <v>641.31209000000001</v>
      </c>
      <c r="W124">
        <v>1.2625690000000001</v>
      </c>
      <c r="X124">
        <v>89.979230000000001</v>
      </c>
      <c r="Y124">
        <v>93.006299999999996</v>
      </c>
      <c r="Z124">
        <v>70.434249877929702</v>
      </c>
      <c r="AA124">
        <v>2018</v>
      </c>
      <c r="AB124">
        <v>2019</v>
      </c>
      <c r="AC124">
        <v>0</v>
      </c>
      <c r="AD124">
        <v>0</v>
      </c>
      <c r="AE124">
        <v>1</v>
      </c>
      <c r="AF124">
        <v>1</v>
      </c>
      <c r="AJ124">
        <v>1.819698572158813</v>
      </c>
      <c r="AK124">
        <v>1.7900457382202151</v>
      </c>
      <c r="AL124">
        <v>5.6342650000000001E-2</v>
      </c>
      <c r="AM124">
        <f>VLOOKUP(D124,[1]Sheet1!$C$1:$D$191,2,FALSE)</f>
        <v>14</v>
      </c>
    </row>
    <row r="125" spans="1:39" x14ac:dyDescent="0.35">
      <c r="A125">
        <v>2018</v>
      </c>
      <c r="B125" t="s">
        <v>18</v>
      </c>
      <c r="C125">
        <v>14</v>
      </c>
      <c r="D125" t="s">
        <v>223</v>
      </c>
      <c r="E125">
        <v>90944530.803292006</v>
      </c>
      <c r="F125">
        <v>176582166.87878001</v>
      </c>
      <c r="G125">
        <v>267526697.68207201</v>
      </c>
      <c r="H125">
        <v>532808626955.91302</v>
      </c>
      <c r="I125">
        <v>551312498430.16394</v>
      </c>
      <c r="J125">
        <v>1.9029645884078732E-2</v>
      </c>
      <c r="K125">
        <v>52363.382918129602</v>
      </c>
      <c r="L125">
        <v>7.2606267886837468E-3</v>
      </c>
      <c r="M125">
        <v>51985.932464245001</v>
      </c>
      <c r="N125">
        <v>1.9535353012702801</v>
      </c>
      <c r="O125">
        <v>90.129695715663502</v>
      </c>
      <c r="P125">
        <v>132.86476163607699</v>
      </c>
      <c r="Q125">
        <v>31.943762214922501</v>
      </c>
      <c r="R125">
        <v>10175214</v>
      </c>
      <c r="S125">
        <v>1.1684184591742563E-2</v>
      </c>
      <c r="T125">
        <v>49.262999999999998</v>
      </c>
      <c r="U125">
        <v>9.39</v>
      </c>
      <c r="V125">
        <v>636.96393</v>
      </c>
      <c r="W125">
        <v>1.222682</v>
      </c>
      <c r="X125">
        <v>89.163129999999995</v>
      </c>
      <c r="Y125">
        <v>89.247</v>
      </c>
      <c r="Z125">
        <v>73.408378601074205</v>
      </c>
      <c r="AA125">
        <v>2018</v>
      </c>
      <c r="AB125">
        <v>2019</v>
      </c>
      <c r="AC125">
        <v>1</v>
      </c>
      <c r="AD125">
        <v>0</v>
      </c>
      <c r="AE125">
        <v>1</v>
      </c>
      <c r="AF125">
        <v>1</v>
      </c>
      <c r="AG125">
        <v>0</v>
      </c>
      <c r="AJ125">
        <v>1.784075021743774</v>
      </c>
      <c r="AK125">
        <v>1.8255048990249629</v>
      </c>
      <c r="AL125">
        <v>4.6627225000000001E-2</v>
      </c>
      <c r="AM125">
        <f>VLOOKUP(D125,[1]Sheet1!$C$1:$D$191,2,FALSE)</f>
        <v>14</v>
      </c>
    </row>
    <row r="126" spans="1:39" x14ac:dyDescent="0.35">
      <c r="A126">
        <v>2019</v>
      </c>
      <c r="B126" t="s">
        <v>18</v>
      </c>
      <c r="C126">
        <v>14</v>
      </c>
      <c r="D126" t="s">
        <v>223</v>
      </c>
      <c r="E126">
        <v>8962536.7171590701</v>
      </c>
      <c r="F126">
        <v>284911564.89902472</v>
      </c>
      <c r="G126">
        <v>293874101.61618376</v>
      </c>
      <c r="H126">
        <v>546393370671.19098</v>
      </c>
      <c r="I126">
        <v>532169294165.94</v>
      </c>
      <c r="J126">
        <v>2.549647852530364E-2</v>
      </c>
      <c r="K126">
        <v>53156.8613091273</v>
      </c>
      <c r="L126">
        <v>1.515330650501143E-2</v>
      </c>
      <c r="M126">
        <v>52363.382918129602</v>
      </c>
      <c r="N126">
        <v>1.7841509740383501</v>
      </c>
      <c r="O126">
        <v>92.521083481028796</v>
      </c>
      <c r="P126">
        <v>131.506604922317</v>
      </c>
      <c r="Q126">
        <v>31.331078945365999</v>
      </c>
      <c r="R126">
        <v>10278887</v>
      </c>
      <c r="S126">
        <v>1.0188778339207411E-2</v>
      </c>
      <c r="T126">
        <v>49.825000000000003</v>
      </c>
      <c r="U126">
        <v>9.39</v>
      </c>
      <c r="V126">
        <v>590.24680999999998</v>
      </c>
      <c r="W126">
        <v>1.141656</v>
      </c>
      <c r="X126">
        <v>89.696979999999996</v>
      </c>
      <c r="Y126">
        <v>94.493399999999994</v>
      </c>
      <c r="Z126">
        <v>75.114852905273395</v>
      </c>
      <c r="AA126">
        <v>2018</v>
      </c>
      <c r="AB126">
        <v>2019</v>
      </c>
      <c r="AC126">
        <v>1</v>
      </c>
      <c r="AD126">
        <v>1</v>
      </c>
      <c r="AE126">
        <v>1</v>
      </c>
      <c r="AF126">
        <v>1</v>
      </c>
      <c r="AG126">
        <v>1</v>
      </c>
      <c r="AH126">
        <v>0</v>
      </c>
      <c r="AJ126">
        <v>1.7921615839004521</v>
      </c>
      <c r="AK126">
        <v>1.7932615280151369</v>
      </c>
      <c r="AL126">
        <v>4.5135225000000001E-2</v>
      </c>
      <c r="AM126">
        <f>VLOOKUP(D126,[1]Sheet1!$C$1:$D$191,2,FALSE)</f>
        <v>14</v>
      </c>
    </row>
    <row r="127" spans="1:39" x14ac:dyDescent="0.35">
      <c r="A127">
        <v>2020</v>
      </c>
      <c r="B127" t="s">
        <v>18</v>
      </c>
      <c r="C127">
        <v>14</v>
      </c>
      <c r="D127" t="s">
        <v>223</v>
      </c>
      <c r="E127">
        <v>80678672.80819878</v>
      </c>
      <c r="F127">
        <v>354383008.96329278</v>
      </c>
      <c r="G127">
        <v>435061681.77149159</v>
      </c>
      <c r="H127">
        <v>535436339492.27899</v>
      </c>
      <c r="I127">
        <v>545147614972.14099</v>
      </c>
      <c r="J127">
        <v>-2.0053375035374868E-2</v>
      </c>
      <c r="K127">
        <v>51715.781040959999</v>
      </c>
      <c r="L127">
        <v>-2.7109957824388336E-2</v>
      </c>
      <c r="M127">
        <v>53156.8613091273</v>
      </c>
      <c r="N127">
        <v>0.49736731885357199</v>
      </c>
      <c r="O127">
        <v>84.330781771997394</v>
      </c>
      <c r="P127">
        <v>138.23518047679201</v>
      </c>
      <c r="Q127">
        <v>34.879101242825598</v>
      </c>
      <c r="R127">
        <v>10353442</v>
      </c>
      <c r="S127">
        <v>7.2532172014343572E-3</v>
      </c>
      <c r="T127">
        <v>48.792000000000002</v>
      </c>
      <c r="U127">
        <v>9.26</v>
      </c>
      <c r="V127">
        <v>561.12783000000002</v>
      </c>
      <c r="W127">
        <v>1.260656</v>
      </c>
      <c r="X127">
        <v>90.112660000000005</v>
      </c>
      <c r="Y127">
        <v>94.539400000000001</v>
      </c>
      <c r="Z127">
        <v>79.119636535644503</v>
      </c>
      <c r="AA127">
        <v>2018</v>
      </c>
      <c r="AB127">
        <v>2019</v>
      </c>
      <c r="AC127">
        <v>1</v>
      </c>
      <c r="AD127">
        <v>1</v>
      </c>
      <c r="AE127">
        <v>1</v>
      </c>
      <c r="AF127">
        <v>1</v>
      </c>
      <c r="AG127">
        <v>2</v>
      </c>
      <c r="AH127">
        <v>1</v>
      </c>
      <c r="AJ127">
        <v>1.7674101591110229</v>
      </c>
      <c r="AK127">
        <v>1.678616404533386</v>
      </c>
      <c r="AL127">
        <v>0.1144781</v>
      </c>
      <c r="AM127">
        <f>VLOOKUP(D127,[1]Sheet1!$C$1:$D$191,2,FALSE)</f>
        <v>14</v>
      </c>
    </row>
    <row r="128" spans="1:39" x14ac:dyDescent="0.35">
      <c r="A128">
        <v>2012</v>
      </c>
      <c r="B128" t="s">
        <v>19</v>
      </c>
      <c r="C128">
        <v>15</v>
      </c>
      <c r="D128" t="s">
        <v>224</v>
      </c>
      <c r="E128">
        <v>3638223.3268439872</v>
      </c>
      <c r="G128">
        <v>3638223.3268439872</v>
      </c>
      <c r="H128">
        <v>655461803595.11902</v>
      </c>
      <c r="I128">
        <v>686420221557.98999</v>
      </c>
      <c r="J128">
        <v>1.179253833251059E-2</v>
      </c>
      <c r="K128">
        <v>81964.886421699601</v>
      </c>
      <c r="L128">
        <v>1.1059660430614499E-3</v>
      </c>
      <c r="M128">
        <v>81874.336186079599</v>
      </c>
      <c r="N128">
        <v>-0.69255201810525302</v>
      </c>
      <c r="O128">
        <v>126.453860464505</v>
      </c>
      <c r="P128">
        <v>162.23023316027701</v>
      </c>
      <c r="Q128">
        <v>16.521926184055602</v>
      </c>
      <c r="R128">
        <v>7996861</v>
      </c>
      <c r="S128">
        <v>1.0674766360337283E-2</v>
      </c>
      <c r="T128">
        <v>48.881999999999998</v>
      </c>
      <c r="U128">
        <v>9.09</v>
      </c>
      <c r="V128">
        <v>99.282416999999995</v>
      </c>
      <c r="W128">
        <v>0.69523120000000005</v>
      </c>
      <c r="X128">
        <v>82.079830000000001</v>
      </c>
      <c r="Y128">
        <v>85.2</v>
      </c>
      <c r="Z128">
        <v>54.835620880127003</v>
      </c>
      <c r="AA128">
        <v>2020</v>
      </c>
      <c r="AB128">
        <v>2021</v>
      </c>
      <c r="AC128">
        <v>0</v>
      </c>
      <c r="AD128">
        <v>0</v>
      </c>
      <c r="AE128">
        <v>1</v>
      </c>
      <c r="AF128">
        <v>0</v>
      </c>
      <c r="AJ128">
        <v>1.81180202960968</v>
      </c>
      <c r="AK128">
        <v>1.6510661840438841</v>
      </c>
      <c r="AL128">
        <v>5.1100424999999998E-2</v>
      </c>
      <c r="AM128">
        <f>VLOOKUP(D128,[1]Sheet1!$C$1:$D$191,2,FALSE)</f>
        <v>15</v>
      </c>
    </row>
    <row r="129" spans="1:39" x14ac:dyDescent="0.35">
      <c r="A129">
        <v>2013</v>
      </c>
      <c r="B129" t="s">
        <v>19</v>
      </c>
      <c r="C129">
        <v>15</v>
      </c>
      <c r="D129" t="s">
        <v>224</v>
      </c>
      <c r="E129">
        <v>8908507.4776439872</v>
      </c>
      <c r="G129">
        <v>8908507.4776439872</v>
      </c>
      <c r="H129">
        <v>667208623354.64502</v>
      </c>
      <c r="I129">
        <v>706234937370.96802</v>
      </c>
      <c r="J129">
        <v>1.7921440570749188E-2</v>
      </c>
      <c r="K129">
        <v>82479.921535640198</v>
      </c>
      <c r="L129">
        <v>6.2836067543704391E-3</v>
      </c>
      <c r="M129">
        <v>81964.886421699601</v>
      </c>
      <c r="N129">
        <v>-0.217323155115693</v>
      </c>
      <c r="O129">
        <v>133.69370841447699</v>
      </c>
      <c r="P129">
        <v>164.061039153883</v>
      </c>
      <c r="Q129">
        <v>16.788762009809201</v>
      </c>
      <c r="R129">
        <v>8089346</v>
      </c>
      <c r="S129">
        <v>1.1565162880785348E-2</v>
      </c>
      <c r="T129">
        <v>49.976999999999997</v>
      </c>
      <c r="U129">
        <v>9.09</v>
      </c>
      <c r="V129">
        <v>98.963336999999996</v>
      </c>
      <c r="W129">
        <v>0.89316870000000004</v>
      </c>
      <c r="X129">
        <v>86.711010000000002</v>
      </c>
      <c r="Y129">
        <v>86.34</v>
      </c>
      <c r="Z129">
        <v>56.181240081787102</v>
      </c>
      <c r="AA129">
        <v>2020</v>
      </c>
      <c r="AB129">
        <v>2021</v>
      </c>
      <c r="AC129">
        <v>0</v>
      </c>
      <c r="AD129">
        <v>0</v>
      </c>
      <c r="AE129">
        <v>1</v>
      </c>
      <c r="AF129">
        <v>0</v>
      </c>
      <c r="AJ129">
        <v>1.7960458993911741</v>
      </c>
      <c r="AK129">
        <v>1.6197923421859739</v>
      </c>
      <c r="AL129">
        <v>6.6470675000000007E-2</v>
      </c>
      <c r="AM129">
        <f>VLOOKUP(D129,[1]Sheet1!$C$1:$D$191,2,FALSE)</f>
        <v>15</v>
      </c>
    </row>
    <row r="130" spans="1:39" x14ac:dyDescent="0.35">
      <c r="A130">
        <v>2014</v>
      </c>
      <c r="B130" t="s">
        <v>19</v>
      </c>
      <c r="C130">
        <v>15</v>
      </c>
      <c r="D130" t="s">
        <v>224</v>
      </c>
      <c r="E130">
        <v>10229681</v>
      </c>
      <c r="F130">
        <v>132853</v>
      </c>
      <c r="G130">
        <v>10362534</v>
      </c>
      <c r="H130">
        <v>682887233860.61597</v>
      </c>
      <c r="I130">
        <v>726537808338</v>
      </c>
      <c r="J130">
        <v>2.3498812750861599E-2</v>
      </c>
      <c r="K130">
        <v>83394.371142372402</v>
      </c>
      <c r="L130">
        <v>1.1086935944005024E-2</v>
      </c>
      <c r="M130">
        <v>82479.921535640198</v>
      </c>
      <c r="N130">
        <v>-1.32025387514939E-2</v>
      </c>
      <c r="O130">
        <v>120.213423375239</v>
      </c>
      <c r="P130">
        <v>165.124027269283</v>
      </c>
      <c r="Q130">
        <v>16.719264503192601</v>
      </c>
      <c r="R130">
        <v>8188649</v>
      </c>
      <c r="S130">
        <v>1.2275776063973528E-2</v>
      </c>
      <c r="T130">
        <v>51.084000000000003</v>
      </c>
      <c r="U130">
        <v>9.09</v>
      </c>
      <c r="V130">
        <v>97.637049000000005</v>
      </c>
      <c r="W130">
        <v>0.88122290000000003</v>
      </c>
      <c r="X130">
        <v>87.528409999999994</v>
      </c>
      <c r="Y130">
        <v>83.6173</v>
      </c>
      <c r="Z130">
        <v>58.065059661865199</v>
      </c>
      <c r="AA130">
        <v>2020</v>
      </c>
      <c r="AB130">
        <v>2021</v>
      </c>
      <c r="AC130">
        <v>0</v>
      </c>
      <c r="AD130">
        <v>0</v>
      </c>
      <c r="AE130">
        <v>1</v>
      </c>
      <c r="AF130">
        <v>0</v>
      </c>
      <c r="AJ130">
        <v>1.990257263183594</v>
      </c>
      <c r="AK130">
        <v>1.8003402948379521</v>
      </c>
      <c r="AL130">
        <v>9.5921450000000005E-2</v>
      </c>
      <c r="AM130">
        <f>VLOOKUP(D130,[1]Sheet1!$C$1:$D$191,2,FALSE)</f>
        <v>15</v>
      </c>
    </row>
    <row r="131" spans="1:39" x14ac:dyDescent="0.35">
      <c r="A131">
        <v>2015</v>
      </c>
      <c r="B131" t="s">
        <v>19</v>
      </c>
      <c r="C131">
        <v>15</v>
      </c>
      <c r="D131" t="s">
        <v>224</v>
      </c>
      <c r="E131">
        <v>15888229.828973981</v>
      </c>
      <c r="F131">
        <v>2191777.7024259982</v>
      </c>
      <c r="G131">
        <v>18080007.531399976</v>
      </c>
      <c r="H131">
        <v>694118186379.62805</v>
      </c>
      <c r="I131">
        <v>694118186379.62805</v>
      </c>
      <c r="J131">
        <v>1.6446276869929645E-2</v>
      </c>
      <c r="K131">
        <v>83806.447600383704</v>
      </c>
      <c r="L131">
        <v>4.9412982239268677E-3</v>
      </c>
      <c r="M131">
        <v>83394.371142372402</v>
      </c>
      <c r="N131">
        <v>-1.1439086722818299</v>
      </c>
      <c r="O131">
        <v>117.138482218872</v>
      </c>
      <c r="P131">
        <v>166.77696605994299</v>
      </c>
      <c r="Q131">
        <v>17.067444663001702</v>
      </c>
      <c r="R131">
        <v>8282396</v>
      </c>
      <c r="S131">
        <v>1.144840864469829E-2</v>
      </c>
      <c r="T131">
        <v>51.438000000000002</v>
      </c>
      <c r="U131">
        <v>9.09</v>
      </c>
      <c r="V131">
        <v>98.708346000000006</v>
      </c>
      <c r="W131">
        <v>1.113232</v>
      </c>
      <c r="X131">
        <v>77.981449999999995</v>
      </c>
      <c r="Y131">
        <v>87.479100000000003</v>
      </c>
      <c r="Z131">
        <v>60.818561553955099</v>
      </c>
      <c r="AA131">
        <v>2020</v>
      </c>
      <c r="AB131">
        <v>2021</v>
      </c>
      <c r="AC131">
        <v>0</v>
      </c>
      <c r="AD131">
        <v>0</v>
      </c>
      <c r="AE131">
        <v>1</v>
      </c>
      <c r="AF131">
        <v>0</v>
      </c>
      <c r="AJ131">
        <v>1.9092810153961179</v>
      </c>
      <c r="AK131">
        <v>1.729456305503845</v>
      </c>
      <c r="AL131">
        <v>0.17379862500000001</v>
      </c>
      <c r="AM131">
        <f>VLOOKUP(D131,[1]Sheet1!$C$1:$D$191,2,FALSE)</f>
        <v>15</v>
      </c>
    </row>
    <row r="132" spans="1:39" x14ac:dyDescent="0.35">
      <c r="A132">
        <v>2016</v>
      </c>
      <c r="B132" t="s">
        <v>19</v>
      </c>
      <c r="C132">
        <v>15</v>
      </c>
      <c r="D132" t="s">
        <v>224</v>
      </c>
      <c r="E132">
        <v>23699246.25398989</v>
      </c>
      <c r="F132">
        <v>8963832.5999999996</v>
      </c>
      <c r="G132">
        <v>32663078.853989892</v>
      </c>
      <c r="H132">
        <v>708477337578.72205</v>
      </c>
      <c r="I132">
        <v>687895460902.71301</v>
      </c>
      <c r="J132">
        <v>2.0686896670995259E-2</v>
      </c>
      <c r="K132">
        <v>84611.099847960606</v>
      </c>
      <c r="L132">
        <v>9.6013167317835039E-3</v>
      </c>
      <c r="M132">
        <v>83806.447600383704</v>
      </c>
      <c r="N132">
        <v>-0.43461866428583501</v>
      </c>
      <c r="O132">
        <v>123.565924513577</v>
      </c>
      <c r="P132">
        <v>170.38555039877301</v>
      </c>
      <c r="Q132">
        <v>17.240822849682601</v>
      </c>
      <c r="R132">
        <v>8373338</v>
      </c>
      <c r="S132">
        <v>1.0980155983848152E-2</v>
      </c>
      <c r="T132">
        <v>51.137999999999998</v>
      </c>
      <c r="U132">
        <v>9.09</v>
      </c>
      <c r="V132">
        <v>98.424452000000002</v>
      </c>
      <c r="W132">
        <v>1.0123200000000001</v>
      </c>
      <c r="X132">
        <v>69.998050000000006</v>
      </c>
      <c r="Y132">
        <v>89.134699999999995</v>
      </c>
      <c r="Z132">
        <v>61.1939888000488</v>
      </c>
      <c r="AA132">
        <v>2020</v>
      </c>
      <c r="AB132">
        <v>2021</v>
      </c>
      <c r="AC132">
        <v>0</v>
      </c>
      <c r="AD132">
        <v>0</v>
      </c>
      <c r="AE132">
        <v>1</v>
      </c>
      <c r="AF132">
        <v>0</v>
      </c>
      <c r="AJ132">
        <v>1.9061628580093379</v>
      </c>
      <c r="AK132">
        <v>1.9003796577453611</v>
      </c>
      <c r="AL132">
        <v>0.229975175</v>
      </c>
      <c r="AM132">
        <f>VLOOKUP(D132,[1]Sheet1!$C$1:$D$191,2,FALSE)</f>
        <v>15</v>
      </c>
    </row>
    <row r="133" spans="1:39" x14ac:dyDescent="0.35">
      <c r="A133">
        <v>2017</v>
      </c>
      <c r="B133" t="s">
        <v>19</v>
      </c>
      <c r="C133">
        <v>15</v>
      </c>
      <c r="D133" t="s">
        <v>224</v>
      </c>
      <c r="E133">
        <v>17914758.952064019</v>
      </c>
      <c r="F133">
        <v>69199614.316553995</v>
      </c>
      <c r="G133">
        <v>87114373.268618017</v>
      </c>
      <c r="H133">
        <v>718132463597.49902</v>
      </c>
      <c r="I133">
        <v>695200833086.49902</v>
      </c>
      <c r="J133">
        <v>1.3627995571141546E-2</v>
      </c>
      <c r="K133">
        <v>84967.588548469896</v>
      </c>
      <c r="L133">
        <v>4.2132616305646823E-3</v>
      </c>
      <c r="M133">
        <v>84611.099847960606</v>
      </c>
      <c r="N133">
        <v>0.53378783982589695</v>
      </c>
      <c r="O133">
        <v>123.621807602301</v>
      </c>
      <c r="Q133">
        <v>17.2162171396998</v>
      </c>
      <c r="R133">
        <v>8451840</v>
      </c>
      <c r="S133">
        <v>9.3752336284525957E-3</v>
      </c>
      <c r="T133">
        <v>50.387</v>
      </c>
      <c r="U133">
        <v>9.0299999999999994</v>
      </c>
      <c r="V133">
        <v>97.931281999999996</v>
      </c>
      <c r="W133">
        <v>0.93456320000000004</v>
      </c>
      <c r="X133">
        <v>67.069059999999993</v>
      </c>
      <c r="Y133">
        <v>89.686099999999996</v>
      </c>
      <c r="Z133">
        <v>62.459720611572301</v>
      </c>
      <c r="AA133">
        <v>2020</v>
      </c>
      <c r="AB133">
        <v>2021</v>
      </c>
      <c r="AC133">
        <v>0</v>
      </c>
      <c r="AD133">
        <v>0</v>
      </c>
      <c r="AE133">
        <v>1</v>
      </c>
      <c r="AF133">
        <v>0</v>
      </c>
      <c r="AJ133">
        <v>1.88867199420929</v>
      </c>
      <c r="AK133">
        <v>1.875574946403503</v>
      </c>
      <c r="AL133">
        <v>0.13543554999999999</v>
      </c>
      <c r="AM133">
        <f>VLOOKUP(D133,[1]Sheet1!$C$1:$D$191,2,FALSE)</f>
        <v>15</v>
      </c>
    </row>
    <row r="134" spans="1:39" x14ac:dyDescent="0.35">
      <c r="A134">
        <v>2018</v>
      </c>
      <c r="B134" t="s">
        <v>19</v>
      </c>
      <c r="C134">
        <v>15</v>
      </c>
      <c r="D134" t="s">
        <v>224</v>
      </c>
      <c r="E134">
        <v>24657422.205758002</v>
      </c>
      <c r="F134">
        <v>59335806.07</v>
      </c>
      <c r="G134">
        <v>83993228.275757998</v>
      </c>
      <c r="H134">
        <v>738674253452.24902</v>
      </c>
      <c r="I134">
        <v>725568717468.00098</v>
      </c>
      <c r="J134">
        <v>2.8604457946164265E-2</v>
      </c>
      <c r="K134">
        <v>86756.602129451305</v>
      </c>
      <c r="L134">
        <v>2.1055247201241488E-2</v>
      </c>
      <c r="M134">
        <v>84967.588548469896</v>
      </c>
      <c r="N134">
        <v>0.93633546411356305</v>
      </c>
      <c r="O134">
        <v>124.42850432580801</v>
      </c>
      <c r="Q134">
        <v>16.7182236540887</v>
      </c>
      <c r="R134">
        <v>8514329</v>
      </c>
      <c r="S134">
        <v>7.393537975162805E-3</v>
      </c>
      <c r="T134">
        <v>51.912999999999997</v>
      </c>
      <c r="U134">
        <v>9.0299999999999994</v>
      </c>
      <c r="V134">
        <v>99.202719999999999</v>
      </c>
      <c r="W134">
        <v>0.73515940000000002</v>
      </c>
      <c r="X134">
        <v>66.800030000000007</v>
      </c>
      <c r="Y134">
        <v>91.8</v>
      </c>
      <c r="Z134">
        <v>64.3533935546875</v>
      </c>
      <c r="AA134">
        <v>2020</v>
      </c>
      <c r="AB134">
        <v>2021</v>
      </c>
      <c r="AC134">
        <v>0</v>
      </c>
      <c r="AD134">
        <v>0</v>
      </c>
      <c r="AE134">
        <v>1</v>
      </c>
      <c r="AF134">
        <v>0</v>
      </c>
      <c r="AI134">
        <v>1</v>
      </c>
      <c r="AJ134">
        <v>1.8875600099563601</v>
      </c>
      <c r="AK134">
        <v>1.7912358045578001</v>
      </c>
      <c r="AL134">
        <v>7.7792324999999996E-2</v>
      </c>
      <c r="AM134">
        <f>VLOOKUP(D134,[1]Sheet1!$C$1:$D$191,2,FALSE)</f>
        <v>15</v>
      </c>
    </row>
    <row r="135" spans="1:39" x14ac:dyDescent="0.35">
      <c r="A135">
        <v>2019</v>
      </c>
      <c r="B135" t="s">
        <v>19</v>
      </c>
      <c r="C135">
        <v>15</v>
      </c>
      <c r="D135" t="s">
        <v>224</v>
      </c>
      <c r="E135">
        <v>25350745.314796079</v>
      </c>
      <c r="F135">
        <v>47116488.254389226</v>
      </c>
      <c r="G135">
        <v>72467233.569185317</v>
      </c>
      <c r="H135">
        <v>747109782866.38904</v>
      </c>
      <c r="I135">
        <v>721369112726.724</v>
      </c>
      <c r="J135">
        <v>1.1419823250527469E-2</v>
      </c>
      <c r="K135">
        <v>87123.660436322607</v>
      </c>
      <c r="L135">
        <v>4.230897682272145E-3</v>
      </c>
      <c r="M135">
        <v>86756.602129451305</v>
      </c>
      <c r="N135">
        <v>0.36288617994061401</v>
      </c>
      <c r="O135">
        <v>124.127612180467</v>
      </c>
      <c r="Q135">
        <v>16.8530605013535</v>
      </c>
      <c r="R135">
        <v>8575280</v>
      </c>
      <c r="S135">
        <v>7.1586381028968934E-3</v>
      </c>
      <c r="T135">
        <v>51.609000000000002</v>
      </c>
      <c r="U135">
        <v>9.0299999999999994</v>
      </c>
      <c r="V135">
        <v>97.147341999999995</v>
      </c>
      <c r="W135">
        <v>0.78040779999999998</v>
      </c>
      <c r="X135">
        <v>66.670640000000006</v>
      </c>
      <c r="Y135">
        <v>93.146100000000004</v>
      </c>
      <c r="Z135">
        <v>66.309341430664105</v>
      </c>
      <c r="AA135">
        <v>2020</v>
      </c>
      <c r="AB135">
        <v>2021</v>
      </c>
      <c r="AC135">
        <v>0</v>
      </c>
      <c r="AD135">
        <v>0</v>
      </c>
      <c r="AE135">
        <v>1</v>
      </c>
      <c r="AF135">
        <v>0</v>
      </c>
      <c r="AI135">
        <v>1</v>
      </c>
      <c r="AJ135">
        <v>1.862659335136414</v>
      </c>
      <c r="AK135">
        <v>1.6519879102706909</v>
      </c>
      <c r="AL135">
        <v>0.212446575</v>
      </c>
      <c r="AM135">
        <f>VLOOKUP(D135,[1]Sheet1!$C$1:$D$191,2,FALSE)</f>
        <v>15</v>
      </c>
    </row>
    <row r="136" spans="1:39" x14ac:dyDescent="0.35">
      <c r="A136">
        <v>2020</v>
      </c>
      <c r="B136" t="s">
        <v>19</v>
      </c>
      <c r="C136">
        <v>15</v>
      </c>
      <c r="D136" t="s">
        <v>224</v>
      </c>
      <c r="E136">
        <v>37811352.160449646</v>
      </c>
      <c r="F136">
        <v>48408843.872901298</v>
      </c>
      <c r="G136">
        <v>86220196.033350945</v>
      </c>
      <c r="H136">
        <v>731108654673.33398</v>
      </c>
      <c r="I136">
        <v>741999406005.62695</v>
      </c>
      <c r="J136">
        <v>-2.1417372065005671E-2</v>
      </c>
      <c r="K136">
        <v>84637.013231317906</v>
      </c>
      <c r="L136">
        <v>-2.8541583222644266E-2</v>
      </c>
      <c r="M136">
        <v>87123.660436322607</v>
      </c>
      <c r="N136">
        <v>-0.72587493331338404</v>
      </c>
      <c r="O136">
        <v>121.785977998371</v>
      </c>
      <c r="Q136">
        <v>20.043195475629499</v>
      </c>
      <c r="R136">
        <v>8638167</v>
      </c>
      <c r="S136">
        <v>7.3335214710190224E-3</v>
      </c>
      <c r="T136">
        <v>50.834000000000003</v>
      </c>
      <c r="U136">
        <v>8.83</v>
      </c>
      <c r="V136">
        <v>93.955903000000006</v>
      </c>
      <c r="W136">
        <v>0.80783890000000003</v>
      </c>
      <c r="X136">
        <v>65.748159999999999</v>
      </c>
      <c r="Y136">
        <v>94.349900000000005</v>
      </c>
      <c r="Z136">
        <v>68.067642211914105</v>
      </c>
      <c r="AA136">
        <v>2020</v>
      </c>
      <c r="AB136">
        <v>2021</v>
      </c>
      <c r="AC136">
        <v>1</v>
      </c>
      <c r="AD136">
        <v>0</v>
      </c>
      <c r="AE136">
        <v>1</v>
      </c>
      <c r="AF136">
        <v>0</v>
      </c>
      <c r="AG136">
        <v>0</v>
      </c>
      <c r="AI136">
        <v>1</v>
      </c>
      <c r="AJ136">
        <v>1.7768902778625491</v>
      </c>
      <c r="AK136">
        <v>1.584892630577087</v>
      </c>
      <c r="AL136">
        <v>0.271184025</v>
      </c>
      <c r="AM136">
        <f>VLOOKUP(D136,[1]Sheet1!$C$1:$D$191,2,FALSE)</f>
        <v>15</v>
      </c>
    </row>
    <row r="137" spans="1:39" x14ac:dyDescent="0.35">
      <c r="A137">
        <v>2012</v>
      </c>
      <c r="B137" t="s">
        <v>4</v>
      </c>
      <c r="C137">
        <v>16</v>
      </c>
      <c r="D137" t="s">
        <v>225</v>
      </c>
      <c r="E137">
        <v>419783806.94370902</v>
      </c>
      <c r="F137">
        <v>358255786.39993572</v>
      </c>
      <c r="G137">
        <v>779791414.44954979</v>
      </c>
      <c r="H137">
        <v>2726497926337.3198</v>
      </c>
      <c r="I137">
        <v>2707089726614.6401</v>
      </c>
      <c r="J137">
        <v>1.5089983744101835E-2</v>
      </c>
      <c r="K137">
        <v>42802.020783404201</v>
      </c>
      <c r="L137">
        <v>8.0560075750319912E-3</v>
      </c>
      <c r="M137">
        <v>42459.962999841897</v>
      </c>
      <c r="N137">
        <v>2.5732347965453002</v>
      </c>
      <c r="O137">
        <v>62.225982733418299</v>
      </c>
      <c r="P137">
        <v>160.757017223167</v>
      </c>
      <c r="Q137">
        <v>43.332117650834597</v>
      </c>
      <c r="R137">
        <v>63700215</v>
      </c>
      <c r="S137">
        <v>6.9777632554263985E-3</v>
      </c>
      <c r="T137">
        <v>69.185000000000002</v>
      </c>
      <c r="U137">
        <v>8.2100000000000009</v>
      </c>
      <c r="V137">
        <v>125.92341</v>
      </c>
      <c r="W137">
        <v>1.0413060000000001</v>
      </c>
      <c r="X137">
        <v>54.903700000000001</v>
      </c>
      <c r="Y137">
        <v>87.48</v>
      </c>
      <c r="Z137">
        <v>59.168170928955099</v>
      </c>
      <c r="AA137">
        <v>2016</v>
      </c>
      <c r="AB137">
        <v>2018</v>
      </c>
      <c r="AC137">
        <v>0</v>
      </c>
      <c r="AD137">
        <v>0</v>
      </c>
      <c r="AE137">
        <v>2</v>
      </c>
      <c r="AF137">
        <v>1</v>
      </c>
      <c r="AJ137">
        <v>1.7294138669967649</v>
      </c>
      <c r="AK137">
        <v>1.6378400325775151</v>
      </c>
      <c r="AL137">
        <v>0.12417805</v>
      </c>
      <c r="AM137">
        <f>VLOOKUP(D137,[1]Sheet1!$C$1:$D$191,2,FALSE)</f>
        <v>16</v>
      </c>
    </row>
    <row r="138" spans="1:39" x14ac:dyDescent="0.35">
      <c r="A138">
        <v>2013</v>
      </c>
      <c r="B138" t="s">
        <v>4</v>
      </c>
      <c r="C138">
        <v>16</v>
      </c>
      <c r="D138" t="s">
        <v>225</v>
      </c>
      <c r="E138">
        <v>555036431.07577491</v>
      </c>
      <c r="F138">
        <v>904889615.22995901</v>
      </c>
      <c r="G138">
        <v>1467709281.883759</v>
      </c>
      <c r="H138">
        <v>2775572748536.75</v>
      </c>
      <c r="I138">
        <v>2784853502534.29</v>
      </c>
      <c r="J138">
        <v>1.7999214936266446E-2</v>
      </c>
      <c r="K138">
        <v>43281.576420072102</v>
      </c>
      <c r="L138">
        <v>1.120404195621159E-2</v>
      </c>
      <c r="M138">
        <v>42802.020783404201</v>
      </c>
      <c r="N138">
        <v>2.2916666666665901</v>
      </c>
      <c r="O138">
        <v>61.999111914990799</v>
      </c>
      <c r="P138">
        <v>149.55082097340201</v>
      </c>
      <c r="Q138">
        <v>40.204371825811798</v>
      </c>
      <c r="R138">
        <v>64128273</v>
      </c>
      <c r="S138">
        <v>6.7198831275530231E-3</v>
      </c>
      <c r="T138">
        <v>68.775999999999996</v>
      </c>
      <c r="U138">
        <v>8.31</v>
      </c>
      <c r="V138">
        <v>128.51327000000001</v>
      </c>
      <c r="W138">
        <v>1.4980089999999999</v>
      </c>
      <c r="X138">
        <v>51.622520000000002</v>
      </c>
      <c r="Y138">
        <v>89.844099999999997</v>
      </c>
      <c r="Z138">
        <v>56.815048217773402</v>
      </c>
      <c r="AA138">
        <v>2016</v>
      </c>
      <c r="AB138">
        <v>2018</v>
      </c>
      <c r="AC138">
        <v>0</v>
      </c>
      <c r="AD138">
        <v>0</v>
      </c>
      <c r="AE138">
        <v>2</v>
      </c>
      <c r="AF138">
        <v>1</v>
      </c>
      <c r="AJ138">
        <v>1.689380884170532</v>
      </c>
      <c r="AK138">
        <v>1.761087894439697</v>
      </c>
      <c r="AL138">
        <v>0.10878210000000001</v>
      </c>
      <c r="AM138">
        <f>VLOOKUP(D138,[1]Sheet1!$C$1:$D$191,2,FALSE)</f>
        <v>16</v>
      </c>
    </row>
    <row r="139" spans="1:39" x14ac:dyDescent="0.35">
      <c r="A139">
        <v>2014</v>
      </c>
      <c r="B139" t="s">
        <v>4</v>
      </c>
      <c r="C139">
        <v>16</v>
      </c>
      <c r="D139" t="s">
        <v>225</v>
      </c>
      <c r="E139">
        <v>171286230.69809389</v>
      </c>
      <c r="F139">
        <v>3124747283.1156368</v>
      </c>
      <c r="G139">
        <v>3370959253.7902207</v>
      </c>
      <c r="H139">
        <v>2864242231205.4702</v>
      </c>
      <c r="I139">
        <v>3064708247921.4302</v>
      </c>
      <c r="J139">
        <v>3.1946373128020421E-2</v>
      </c>
      <c r="K139">
        <v>44336.537861322999</v>
      </c>
      <c r="L139">
        <v>2.4374376547931172E-2</v>
      </c>
      <c r="M139">
        <v>43281.576420072102</v>
      </c>
      <c r="N139">
        <v>1.4511201629327899</v>
      </c>
      <c r="O139">
        <v>59.094804119593199</v>
      </c>
      <c r="P139">
        <v>135.512196348591</v>
      </c>
      <c r="Q139">
        <v>39.409958797625102</v>
      </c>
      <c r="R139">
        <v>64602298</v>
      </c>
      <c r="S139">
        <v>7.3918254433578776E-3</v>
      </c>
      <c r="T139">
        <v>68.525000000000006</v>
      </c>
      <c r="U139">
        <v>8.31</v>
      </c>
      <c r="V139">
        <v>129.51353</v>
      </c>
      <c r="W139">
        <v>1.4791730000000001</v>
      </c>
      <c r="X139">
        <v>55.14208</v>
      </c>
      <c r="Y139">
        <v>91.613299999999995</v>
      </c>
      <c r="Z139">
        <v>56.567089080810497</v>
      </c>
      <c r="AA139">
        <v>2016</v>
      </c>
      <c r="AB139">
        <v>2018</v>
      </c>
      <c r="AC139">
        <v>0</v>
      </c>
      <c r="AD139">
        <v>0</v>
      </c>
      <c r="AE139">
        <v>2</v>
      </c>
      <c r="AF139">
        <v>1</v>
      </c>
      <c r="AJ139">
        <v>1.874681949615479</v>
      </c>
      <c r="AK139">
        <v>1.8195289373397829</v>
      </c>
      <c r="AL139">
        <v>8.3904824999999988E-2</v>
      </c>
      <c r="AM139">
        <f>VLOOKUP(D139,[1]Sheet1!$C$1:$D$191,2,FALSE)</f>
        <v>16</v>
      </c>
    </row>
    <row r="140" spans="1:39" x14ac:dyDescent="0.35">
      <c r="A140">
        <v>2015</v>
      </c>
      <c r="B140" t="s">
        <v>4</v>
      </c>
      <c r="C140">
        <v>16</v>
      </c>
      <c r="D140" t="s">
        <v>225</v>
      </c>
      <c r="E140">
        <v>608273537.51421869</v>
      </c>
      <c r="F140">
        <v>3948778631.0675702</v>
      </c>
      <c r="G140">
        <v>4557052168.5817881</v>
      </c>
      <c r="H140">
        <v>2927911140916.73</v>
      </c>
      <c r="I140">
        <v>2927911140916.73</v>
      </c>
      <c r="J140">
        <v>2.2228884490842628E-2</v>
      </c>
      <c r="K140">
        <v>44964.391143729197</v>
      </c>
      <c r="L140">
        <v>1.416108051490206E-2</v>
      </c>
      <c r="M140">
        <v>44336.537861322999</v>
      </c>
      <c r="N140">
        <v>0.36804684232536</v>
      </c>
      <c r="O140">
        <v>57.2035496863734</v>
      </c>
      <c r="P140">
        <v>130.86773416069599</v>
      </c>
      <c r="Q140">
        <v>38.443977957171903</v>
      </c>
      <c r="R140">
        <v>65116219</v>
      </c>
      <c r="S140">
        <v>7.9551504499112396E-3</v>
      </c>
      <c r="T140">
        <v>68.751000000000005</v>
      </c>
      <c r="U140">
        <v>8.31</v>
      </c>
      <c r="V140">
        <v>131.28551999999999</v>
      </c>
      <c r="W140">
        <v>1.970707</v>
      </c>
      <c r="X140">
        <v>57.937600000000003</v>
      </c>
      <c r="Y140">
        <v>92.000299999999996</v>
      </c>
      <c r="Z140">
        <v>56.4859008789062</v>
      </c>
      <c r="AA140">
        <v>2016</v>
      </c>
      <c r="AB140">
        <v>2018</v>
      </c>
      <c r="AC140">
        <v>0</v>
      </c>
      <c r="AD140">
        <v>0</v>
      </c>
      <c r="AE140">
        <v>2</v>
      </c>
      <c r="AF140">
        <v>1</v>
      </c>
      <c r="AJ140">
        <v>1.7706881761550901</v>
      </c>
      <c r="AK140">
        <v>1.83466100692749</v>
      </c>
      <c r="AL140">
        <v>0.15130927499999999</v>
      </c>
      <c r="AM140">
        <f>VLOOKUP(D140,[1]Sheet1!$C$1:$D$191,2,FALSE)</f>
        <v>16</v>
      </c>
    </row>
    <row r="141" spans="1:39" x14ac:dyDescent="0.35">
      <c r="A141">
        <v>2016</v>
      </c>
      <c r="B141" t="s">
        <v>4</v>
      </c>
      <c r="C141">
        <v>16</v>
      </c>
      <c r="D141" t="s">
        <v>225</v>
      </c>
      <c r="E141">
        <v>630130906.7412653</v>
      </c>
      <c r="F141">
        <v>5577676132.0238342</v>
      </c>
      <c r="G141">
        <v>6207807038.7650995</v>
      </c>
      <c r="H141">
        <v>2984177104376.02</v>
      </c>
      <c r="I141">
        <v>2689106566899.6099</v>
      </c>
      <c r="J141">
        <v>1.921710077638256E-2</v>
      </c>
      <c r="K141">
        <v>45482.4668618551</v>
      </c>
      <c r="L141">
        <v>1.1521911115617426E-2</v>
      </c>
      <c r="M141">
        <v>44964.391143729197</v>
      </c>
      <c r="N141">
        <v>1.0084173681141</v>
      </c>
      <c r="O141">
        <v>59.700398414376103</v>
      </c>
      <c r="P141">
        <v>132.345573633855</v>
      </c>
      <c r="Q141">
        <v>37.255534997451903</v>
      </c>
      <c r="R141">
        <v>65611593</v>
      </c>
      <c r="S141">
        <v>7.6075363036665258E-3</v>
      </c>
      <c r="T141">
        <v>68.477000000000004</v>
      </c>
      <c r="U141">
        <v>8.36</v>
      </c>
      <c r="V141">
        <v>129.49709999999999</v>
      </c>
      <c r="W141">
        <v>1.8575630000000001</v>
      </c>
      <c r="X141">
        <v>57.912730000000003</v>
      </c>
      <c r="Y141">
        <v>94.775800000000004</v>
      </c>
      <c r="Z141">
        <v>58.110481262207003</v>
      </c>
      <c r="AA141">
        <v>2016</v>
      </c>
      <c r="AB141">
        <v>2018</v>
      </c>
      <c r="AC141">
        <v>1</v>
      </c>
      <c r="AD141">
        <v>0</v>
      </c>
      <c r="AE141">
        <v>2</v>
      </c>
      <c r="AF141">
        <v>1</v>
      </c>
      <c r="AG141">
        <v>0</v>
      </c>
      <c r="AI141">
        <v>1</v>
      </c>
      <c r="AJ141">
        <v>1.6399984359741211</v>
      </c>
      <c r="AK141">
        <v>1.749326229095459</v>
      </c>
      <c r="AL141">
        <v>0.302053925</v>
      </c>
      <c r="AM141">
        <f>VLOOKUP(D141,[1]Sheet1!$C$1:$D$191,2,FALSE)</f>
        <v>16</v>
      </c>
    </row>
    <row r="142" spans="1:39" x14ac:dyDescent="0.35">
      <c r="A142">
        <v>2017</v>
      </c>
      <c r="B142" t="s">
        <v>4</v>
      </c>
      <c r="C142">
        <v>16</v>
      </c>
      <c r="D142" t="s">
        <v>225</v>
      </c>
      <c r="E142">
        <v>843505634.01344168</v>
      </c>
      <c r="F142">
        <v>7111504343.887681</v>
      </c>
      <c r="G142">
        <v>8004783637.5461245</v>
      </c>
      <c r="H142">
        <v>3063451915172.5298</v>
      </c>
      <c r="I142">
        <v>2680148052335.2998</v>
      </c>
      <c r="J142">
        <v>2.656504893099695E-2</v>
      </c>
      <c r="K142">
        <v>46374.581116705798</v>
      </c>
      <c r="L142">
        <v>1.9614465010447564E-2</v>
      </c>
      <c r="M142">
        <v>45482.4668618551</v>
      </c>
      <c r="N142">
        <v>2.55775577557747</v>
      </c>
      <c r="O142">
        <v>63.121650031068697</v>
      </c>
      <c r="P142">
        <v>133.26991541823699</v>
      </c>
      <c r="Q142">
        <v>37.104186254671099</v>
      </c>
      <c r="R142">
        <v>66058859</v>
      </c>
      <c r="S142">
        <v>6.8168745727603354E-3</v>
      </c>
      <c r="T142">
        <v>68.72</v>
      </c>
      <c r="U142">
        <v>8.5299999999999994</v>
      </c>
      <c r="V142">
        <v>127.93752000000001</v>
      </c>
      <c r="W142">
        <v>1.7749969999999999</v>
      </c>
      <c r="X142">
        <v>58.24015</v>
      </c>
      <c r="Y142">
        <v>90.424599999999998</v>
      </c>
      <c r="Z142">
        <v>59.633518218994098</v>
      </c>
      <c r="AA142">
        <v>2016</v>
      </c>
      <c r="AB142">
        <v>2018</v>
      </c>
      <c r="AC142">
        <v>1</v>
      </c>
      <c r="AD142">
        <v>0</v>
      </c>
      <c r="AE142">
        <v>2</v>
      </c>
      <c r="AF142">
        <v>1</v>
      </c>
      <c r="AG142">
        <v>1</v>
      </c>
      <c r="AI142">
        <v>1</v>
      </c>
      <c r="AJ142">
        <v>1.6450653076171879</v>
      </c>
      <c r="AK142">
        <v>1.705333828926086</v>
      </c>
      <c r="AL142">
        <v>0.1795139</v>
      </c>
      <c r="AM142">
        <f>VLOOKUP(D142,[1]Sheet1!$C$1:$D$191,2,FALSE)</f>
        <v>16</v>
      </c>
    </row>
    <row r="143" spans="1:39" x14ac:dyDescent="0.35">
      <c r="A143">
        <v>2018</v>
      </c>
      <c r="B143" t="s">
        <v>4</v>
      </c>
      <c r="C143">
        <v>16</v>
      </c>
      <c r="D143" t="s">
        <v>225</v>
      </c>
      <c r="E143">
        <v>937736279.5747931</v>
      </c>
      <c r="F143">
        <v>9312749545.9575825</v>
      </c>
      <c r="G143">
        <v>10358632489.532375</v>
      </c>
      <c r="H143">
        <v>3106499243290.9702</v>
      </c>
      <c r="I143">
        <v>2871340347581.79</v>
      </c>
      <c r="J143">
        <v>1.4051902660928843E-2</v>
      </c>
      <c r="K143">
        <v>46742.1481190493</v>
      </c>
      <c r="L143">
        <v>7.9260446885436233E-3</v>
      </c>
      <c r="M143">
        <v>46374.581116705798</v>
      </c>
      <c r="N143">
        <v>2.29283990345938</v>
      </c>
      <c r="O143">
        <v>64.542648250433004</v>
      </c>
      <c r="P143">
        <v>133.97126985778999</v>
      </c>
      <c r="Q143">
        <v>37.529689114548901</v>
      </c>
      <c r="R143">
        <v>66460344</v>
      </c>
      <c r="S143">
        <v>6.0776859618480545E-3</v>
      </c>
      <c r="T143">
        <v>68.778999999999996</v>
      </c>
      <c r="U143">
        <v>8.5299999999999994</v>
      </c>
      <c r="V143">
        <v>115.44206</v>
      </c>
      <c r="W143">
        <v>1.548244</v>
      </c>
      <c r="X143">
        <v>45.043880000000001</v>
      </c>
      <c r="Y143">
        <v>90.691999999999993</v>
      </c>
      <c r="Z143">
        <v>61.125118255615199</v>
      </c>
      <c r="AA143">
        <v>2016</v>
      </c>
      <c r="AB143">
        <v>2018</v>
      </c>
      <c r="AC143">
        <v>1</v>
      </c>
      <c r="AD143">
        <v>0</v>
      </c>
      <c r="AE143">
        <v>2</v>
      </c>
      <c r="AF143">
        <v>1</v>
      </c>
      <c r="AG143">
        <v>2</v>
      </c>
      <c r="AH143">
        <v>0</v>
      </c>
      <c r="AI143">
        <v>1</v>
      </c>
      <c r="AJ143">
        <v>1.6031792163848879</v>
      </c>
      <c r="AK143">
        <v>1.769423246383667</v>
      </c>
      <c r="AL143">
        <v>0.18891697499999999</v>
      </c>
      <c r="AM143">
        <f>VLOOKUP(D143,[1]Sheet1!$C$1:$D$191,2,FALSE)</f>
        <v>16</v>
      </c>
    </row>
    <row r="144" spans="1:39" x14ac:dyDescent="0.35">
      <c r="A144">
        <v>2019</v>
      </c>
      <c r="B144" t="s">
        <v>4</v>
      </c>
      <c r="C144">
        <v>16</v>
      </c>
      <c r="D144" t="s">
        <v>225</v>
      </c>
      <c r="E144">
        <v>2746078350.4713049</v>
      </c>
      <c r="F144">
        <v>8898604078.3728638</v>
      </c>
      <c r="G144">
        <v>11644682428.844172</v>
      </c>
      <c r="H144">
        <v>3156963551827.52</v>
      </c>
      <c r="I144">
        <v>2851407164907.8101</v>
      </c>
      <c r="J144">
        <v>1.6244751594752947E-2</v>
      </c>
      <c r="K144">
        <v>47234.246607051296</v>
      </c>
      <c r="L144">
        <v>1.0527939082916197E-2</v>
      </c>
      <c r="M144">
        <v>46742.1481190493</v>
      </c>
      <c r="N144">
        <v>1.73810460086513</v>
      </c>
      <c r="O144">
        <v>64.665133637223505</v>
      </c>
      <c r="P144">
        <v>132.56337175755101</v>
      </c>
      <c r="Q144">
        <v>36.716159613522599</v>
      </c>
      <c r="R144">
        <v>66836327</v>
      </c>
      <c r="S144">
        <v>5.6572532937837336E-3</v>
      </c>
      <c r="T144">
        <v>68.606999999999999</v>
      </c>
      <c r="U144">
        <v>8.52</v>
      </c>
      <c r="V144">
        <v>110.27616</v>
      </c>
      <c r="W144">
        <v>2.2476560000000001</v>
      </c>
      <c r="X144">
        <v>44.799259999999997</v>
      </c>
      <c r="Y144">
        <v>92.516599999999997</v>
      </c>
      <c r="Z144">
        <v>65.484077453613295</v>
      </c>
      <c r="AA144">
        <v>2016</v>
      </c>
      <c r="AB144">
        <v>2018</v>
      </c>
      <c r="AC144">
        <v>1</v>
      </c>
      <c r="AD144">
        <v>1</v>
      </c>
      <c r="AE144">
        <v>2</v>
      </c>
      <c r="AF144">
        <v>1</v>
      </c>
      <c r="AG144">
        <v>3</v>
      </c>
      <c r="AH144">
        <v>1</v>
      </c>
      <c r="AI144">
        <v>1</v>
      </c>
      <c r="AJ144">
        <v>1.569929242134094</v>
      </c>
      <c r="AK144">
        <v>1.6128572225570681</v>
      </c>
      <c r="AL144">
        <v>0.35836950000000001</v>
      </c>
      <c r="AM144">
        <f>VLOOKUP(D144,[1]Sheet1!$C$1:$D$191,2,FALSE)</f>
        <v>16</v>
      </c>
    </row>
    <row r="145" spans="1:39" x14ac:dyDescent="0.35">
      <c r="A145">
        <v>2020</v>
      </c>
      <c r="B145" t="s">
        <v>4</v>
      </c>
      <c r="C145">
        <v>16</v>
      </c>
      <c r="D145" t="s">
        <v>225</v>
      </c>
      <c r="E145">
        <v>6655131616.3072968</v>
      </c>
      <c r="F145">
        <v>6769945740.0418797</v>
      </c>
      <c r="G145">
        <v>13425077356.349176</v>
      </c>
      <c r="H145">
        <v>2831893576021.77</v>
      </c>
      <c r="I145">
        <v>2696778386607.6499</v>
      </c>
      <c r="J145">
        <v>-0.1029691887375677</v>
      </c>
      <c r="K145">
        <v>42215.883745098901</v>
      </c>
      <c r="L145">
        <v>-0.10624416016838165</v>
      </c>
      <c r="M145">
        <v>47234.246607051296</v>
      </c>
      <c r="N145">
        <v>0.98948670377249104</v>
      </c>
      <c r="O145">
        <v>58.781137597302802</v>
      </c>
      <c r="P145">
        <v>147.04157764777099</v>
      </c>
      <c r="Q145">
        <v>48.012489743216697</v>
      </c>
      <c r="R145">
        <v>67081234</v>
      </c>
      <c r="S145">
        <v>3.6642797561272332E-3</v>
      </c>
      <c r="T145">
        <v>67.177999999999997</v>
      </c>
      <c r="U145">
        <v>8.5399999999999991</v>
      </c>
      <c r="V145">
        <v>98.627482999999998</v>
      </c>
      <c r="W145">
        <v>1.852144</v>
      </c>
      <c r="X145">
        <v>45.278129999999997</v>
      </c>
      <c r="Y145">
        <v>94.818200000000004</v>
      </c>
      <c r="Z145">
        <v>69.370162963867202</v>
      </c>
      <c r="AA145">
        <v>2016</v>
      </c>
      <c r="AB145">
        <v>2018</v>
      </c>
      <c r="AC145">
        <v>1</v>
      </c>
      <c r="AD145">
        <v>1</v>
      </c>
      <c r="AE145">
        <v>2</v>
      </c>
      <c r="AF145">
        <v>1</v>
      </c>
      <c r="AG145">
        <v>4</v>
      </c>
      <c r="AH145">
        <v>2</v>
      </c>
      <c r="AI145">
        <v>1</v>
      </c>
      <c r="AJ145">
        <v>1.4639643430709841</v>
      </c>
      <c r="AK145">
        <v>1.4740239381790159</v>
      </c>
      <c r="AL145">
        <v>0.33445017500000002</v>
      </c>
      <c r="AM145">
        <f>VLOOKUP(D145,[1]Sheet1!$C$1:$D$191,2,FALSE)</f>
        <v>16</v>
      </c>
    </row>
    <row r="146" spans="1:39" x14ac:dyDescent="0.35">
      <c r="A146">
        <v>2012</v>
      </c>
      <c r="B146" t="s">
        <v>20</v>
      </c>
      <c r="C146">
        <v>17</v>
      </c>
      <c r="D146" t="s">
        <v>226</v>
      </c>
      <c r="E146">
        <v>150000</v>
      </c>
      <c r="G146">
        <v>150000</v>
      </c>
      <c r="H146">
        <v>16974575729000</v>
      </c>
      <c r="I146">
        <v>16253970000000</v>
      </c>
      <c r="J146">
        <v>2.2891133876789663E-2</v>
      </c>
      <c r="K146">
        <v>54080.228649721503</v>
      </c>
      <c r="L146">
        <v>1.5414662344997389E-2</v>
      </c>
      <c r="M146">
        <v>53259.255213853903</v>
      </c>
      <c r="N146">
        <v>2.0693372652606699</v>
      </c>
      <c r="O146">
        <v>30.681839575192999</v>
      </c>
      <c r="P146">
        <v>175.443843579456</v>
      </c>
      <c r="Q146">
        <v>23.911903984072801</v>
      </c>
      <c r="R146">
        <v>313877662</v>
      </c>
      <c r="S146">
        <v>7.3629737771624681E-3</v>
      </c>
      <c r="T146">
        <v>40.872999999999998</v>
      </c>
      <c r="U146">
        <v>8.11</v>
      </c>
      <c r="V146">
        <v>0</v>
      </c>
      <c r="W146">
        <v>3.525067</v>
      </c>
      <c r="X146">
        <v>35.101370000000003</v>
      </c>
      <c r="Y146">
        <v>74.7</v>
      </c>
      <c r="AJ146">
        <v>1.6203417778015139</v>
      </c>
      <c r="AK146">
        <v>1.29439389705658</v>
      </c>
      <c r="AL146">
        <v>0.11112745</v>
      </c>
      <c r="AM146">
        <f>VLOOKUP(D146,[1]Sheet1!$C$1:$D$191,2,FALSE)</f>
        <v>17</v>
      </c>
    </row>
    <row r="147" spans="1:39" x14ac:dyDescent="0.35">
      <c r="A147">
        <v>2013</v>
      </c>
      <c r="B147" t="s">
        <v>20</v>
      </c>
      <c r="C147">
        <v>17</v>
      </c>
      <c r="D147" t="s">
        <v>226</v>
      </c>
      <c r="E147">
        <v>646779255</v>
      </c>
      <c r="F147">
        <v>3752305532.999999</v>
      </c>
      <c r="G147">
        <v>4399084787.999999</v>
      </c>
      <c r="H147">
        <v>17334068403000</v>
      </c>
      <c r="I147">
        <v>16880683000000</v>
      </c>
      <c r="J147">
        <v>2.1178300991984693E-2</v>
      </c>
      <c r="K147">
        <v>54844.242579715399</v>
      </c>
      <c r="L147">
        <v>1.4127416785576606E-2</v>
      </c>
      <c r="M147">
        <v>54080.228649721503</v>
      </c>
      <c r="N147">
        <v>1.46483265562717</v>
      </c>
      <c r="O147">
        <v>29.941306284822701</v>
      </c>
      <c r="P147">
        <v>184.16292171582299</v>
      </c>
      <c r="Q147">
        <v>22.881463978679101</v>
      </c>
      <c r="R147">
        <v>316059947</v>
      </c>
      <c r="S147">
        <v>6.9526610657626216E-3</v>
      </c>
      <c r="T147">
        <v>40.795000000000002</v>
      </c>
      <c r="U147">
        <v>8.11</v>
      </c>
      <c r="V147">
        <v>0</v>
      </c>
      <c r="W147">
        <v>3.4280110000000001</v>
      </c>
      <c r="X147">
        <v>35.030760000000001</v>
      </c>
      <c r="Y147">
        <v>71.400000000000006</v>
      </c>
      <c r="Z147">
        <v>88.726417541503906</v>
      </c>
      <c r="AJ147">
        <v>1.5494276285171511</v>
      </c>
      <c r="AK147">
        <v>1.2603886127471919</v>
      </c>
      <c r="AL147">
        <v>9.4686199999999998E-2</v>
      </c>
      <c r="AM147">
        <f>VLOOKUP(D147,[1]Sheet1!$C$1:$D$191,2,FALSE)</f>
        <v>17</v>
      </c>
    </row>
    <row r="148" spans="1:39" x14ac:dyDescent="0.35">
      <c r="A148">
        <v>2014</v>
      </c>
      <c r="B148" t="s">
        <v>20</v>
      </c>
      <c r="C148">
        <v>17</v>
      </c>
      <c r="D148" t="s">
        <v>226</v>
      </c>
      <c r="E148">
        <v>1019625364</v>
      </c>
      <c r="F148">
        <v>10545346864</v>
      </c>
      <c r="G148">
        <v>11564972228</v>
      </c>
      <c r="H148">
        <v>17771549056000</v>
      </c>
      <c r="I148">
        <v>17608138000000</v>
      </c>
      <c r="J148">
        <v>2.5238198144198244E-2</v>
      </c>
      <c r="K148">
        <v>55817.563247195802</v>
      </c>
      <c r="L148">
        <v>1.7746998074878933E-2</v>
      </c>
      <c r="M148">
        <v>54844.242579715399</v>
      </c>
      <c r="N148">
        <v>1.62222297740817</v>
      </c>
      <c r="O148">
        <v>29.906569337427999</v>
      </c>
      <c r="P148">
        <v>184.79402133194901</v>
      </c>
      <c r="Q148">
        <v>22.6100726834376</v>
      </c>
      <c r="R148">
        <v>318386329</v>
      </c>
      <c r="S148">
        <v>7.3605720119923959E-3</v>
      </c>
      <c r="T148">
        <v>40.844999999999999</v>
      </c>
      <c r="U148">
        <v>8.11</v>
      </c>
      <c r="V148">
        <v>0</v>
      </c>
      <c r="W148">
        <v>3.4612769999999999</v>
      </c>
      <c r="X148">
        <v>36.165050000000001</v>
      </c>
      <c r="Y148">
        <v>73</v>
      </c>
      <c r="Z148">
        <v>88.626869201660199</v>
      </c>
      <c r="AJ148">
        <v>1.606974124908447</v>
      </c>
      <c r="AK148">
        <v>1.2762894630432129</v>
      </c>
      <c r="AL148">
        <v>4.7917649999999999E-2</v>
      </c>
      <c r="AM148">
        <f>VLOOKUP(D148,[1]Sheet1!$C$1:$D$191,2,FALSE)</f>
        <v>17</v>
      </c>
    </row>
    <row r="149" spans="1:39" x14ac:dyDescent="0.35">
      <c r="A149">
        <v>2015</v>
      </c>
      <c r="B149" t="s">
        <v>20</v>
      </c>
      <c r="C149">
        <v>17</v>
      </c>
      <c r="D149" t="s">
        <v>226</v>
      </c>
      <c r="E149">
        <v>1797473260</v>
      </c>
      <c r="F149">
        <v>34408229929</v>
      </c>
      <c r="G149">
        <v>36205703189</v>
      </c>
      <c r="H149">
        <v>18295019000000</v>
      </c>
      <c r="I149">
        <v>18295019000000</v>
      </c>
      <c r="J149">
        <v>2.9455504545523394E-2</v>
      </c>
      <c r="K149">
        <v>57040.208213660502</v>
      </c>
      <c r="L149">
        <v>2.1904305658239653E-2</v>
      </c>
      <c r="M149">
        <v>55817.563247195802</v>
      </c>
      <c r="N149">
        <v>0.118627135552451</v>
      </c>
      <c r="O149">
        <v>27.688213934076799</v>
      </c>
      <c r="P149">
        <v>183.63216344025199</v>
      </c>
      <c r="Q149">
        <v>22.373535660170699</v>
      </c>
      <c r="R149">
        <v>320738994</v>
      </c>
      <c r="S149">
        <v>7.3893405140520339E-3</v>
      </c>
      <c r="T149">
        <v>41.042999999999999</v>
      </c>
      <c r="U149">
        <v>8.0500000000000007</v>
      </c>
      <c r="V149">
        <v>0</v>
      </c>
      <c r="W149">
        <v>3.2493050000000001</v>
      </c>
      <c r="X149">
        <v>42.285260000000001</v>
      </c>
      <c r="Y149">
        <v>74.554199999999994</v>
      </c>
      <c r="Z149">
        <v>88.889411926269503</v>
      </c>
      <c r="AJ149">
        <v>1.563012361526489</v>
      </c>
      <c r="AK149">
        <v>1.2422066926956179</v>
      </c>
      <c r="AL149">
        <v>9.2138075E-2</v>
      </c>
      <c r="AM149">
        <f>VLOOKUP(D149,[1]Sheet1!$C$1:$D$191,2,FALSE)</f>
        <v>17</v>
      </c>
    </row>
    <row r="150" spans="1:39" x14ac:dyDescent="0.35">
      <c r="A150">
        <v>2016</v>
      </c>
      <c r="B150" t="s">
        <v>20</v>
      </c>
      <c r="C150">
        <v>17</v>
      </c>
      <c r="D150" t="s">
        <v>226</v>
      </c>
      <c r="E150">
        <v>2150638603.3741488</v>
      </c>
      <c r="F150">
        <v>32393957273</v>
      </c>
      <c r="G150">
        <v>34544595876.374146</v>
      </c>
      <c r="H150">
        <v>18627887993000</v>
      </c>
      <c r="I150">
        <v>18804913000000</v>
      </c>
      <c r="J150">
        <v>1.8194514747429343E-2</v>
      </c>
      <c r="K150">
        <v>57658.670882572202</v>
      </c>
      <c r="L150">
        <v>1.0842573831341388E-2</v>
      </c>
      <c r="M150">
        <v>57040.208213660502</v>
      </c>
      <c r="N150">
        <v>1.26158320570536</v>
      </c>
      <c r="O150">
        <v>26.452597786546502</v>
      </c>
      <c r="P150">
        <v>186.32705104430599</v>
      </c>
      <c r="Q150">
        <v>22.415921839149199</v>
      </c>
      <c r="R150">
        <v>323071755</v>
      </c>
      <c r="S150">
        <v>7.2730819876550461E-3</v>
      </c>
      <c r="T150">
        <v>41.258000000000003</v>
      </c>
      <c r="U150">
        <v>7.98</v>
      </c>
      <c r="V150">
        <v>0</v>
      </c>
      <c r="W150">
        <v>3.2871579999999998</v>
      </c>
      <c r="X150">
        <v>42.05115</v>
      </c>
      <c r="Y150">
        <v>85.544399999999996</v>
      </c>
      <c r="Z150">
        <v>88.835052490234403</v>
      </c>
      <c r="AJ150">
        <v>1.580597400665283</v>
      </c>
      <c r="AK150">
        <v>1.4856207370758061</v>
      </c>
      <c r="AL150">
        <v>6.2556324999999996E-2</v>
      </c>
      <c r="AM150">
        <f>VLOOKUP(D150,[1]Sheet1!$C$1:$D$191,2,FALSE)</f>
        <v>17</v>
      </c>
    </row>
    <row r="151" spans="1:39" x14ac:dyDescent="0.35">
      <c r="A151">
        <v>2017</v>
      </c>
      <c r="B151" t="s">
        <v>20</v>
      </c>
      <c r="C151">
        <v>17</v>
      </c>
      <c r="D151" t="s">
        <v>226</v>
      </c>
      <c r="E151">
        <v>2666692898.3800001</v>
      </c>
      <c r="F151">
        <v>40036481304.120003</v>
      </c>
      <c r="G151">
        <v>42773174202.5</v>
      </c>
      <c r="H151">
        <v>19085691122935.199</v>
      </c>
      <c r="I151">
        <v>19612102000000</v>
      </c>
      <c r="J151">
        <v>2.4576223032220977E-2</v>
      </c>
      <c r="K151">
        <v>58703.144078016099</v>
      </c>
      <c r="L151">
        <v>1.8114763650571731E-2</v>
      </c>
      <c r="M151">
        <v>57658.670882572202</v>
      </c>
      <c r="N151">
        <v>2.1301100036596101</v>
      </c>
      <c r="O151">
        <v>27.1253382222874</v>
      </c>
      <c r="P151">
        <v>194.09099665384699</v>
      </c>
      <c r="Q151">
        <v>22.140699655753401</v>
      </c>
      <c r="R151">
        <v>325122128</v>
      </c>
      <c r="S151">
        <v>6.3464941402878129E-3</v>
      </c>
      <c r="T151">
        <v>41.423000000000002</v>
      </c>
      <c r="U151">
        <v>7.98</v>
      </c>
      <c r="V151">
        <v>0</v>
      </c>
      <c r="W151">
        <v>3.392058</v>
      </c>
      <c r="X151">
        <v>41.446170000000002</v>
      </c>
      <c r="Y151">
        <v>87.274900000000002</v>
      </c>
      <c r="Z151">
        <v>88.167388916015597</v>
      </c>
      <c r="AJ151">
        <v>1.608979344367981</v>
      </c>
      <c r="AK151">
        <v>1.619457602500916</v>
      </c>
      <c r="AL151">
        <v>6.9187274999999993E-2</v>
      </c>
      <c r="AM151">
        <f>VLOOKUP(D151,[1]Sheet1!$C$1:$D$191,2,FALSE)</f>
        <v>17</v>
      </c>
    </row>
    <row r="152" spans="1:39" x14ac:dyDescent="0.35">
      <c r="A152">
        <v>2018</v>
      </c>
      <c r="B152" t="s">
        <v>20</v>
      </c>
      <c r="C152">
        <v>17</v>
      </c>
      <c r="D152" t="s">
        <v>226</v>
      </c>
      <c r="E152">
        <v>3212851668.8367448</v>
      </c>
      <c r="F152">
        <v>57668227875.400002</v>
      </c>
      <c r="G152">
        <v>61106079544.236748</v>
      </c>
      <c r="H152">
        <v>19651869117582.5</v>
      </c>
      <c r="I152">
        <v>20656516000000</v>
      </c>
      <c r="J152">
        <v>2.9665050691663291E-2</v>
      </c>
      <c r="K152">
        <v>60127.210276245904</v>
      </c>
      <c r="L152">
        <v>2.4258772176448156E-2</v>
      </c>
      <c r="M152">
        <v>58703.144078016099</v>
      </c>
      <c r="N152">
        <v>2.44258329692817</v>
      </c>
      <c r="O152">
        <v>27.445359130261799</v>
      </c>
      <c r="P152">
        <v>183.05400175621199</v>
      </c>
      <c r="Q152">
        <v>22.1694791125473</v>
      </c>
      <c r="R152">
        <v>326838199</v>
      </c>
      <c r="S152">
        <v>5.2782350145050725E-3</v>
      </c>
      <c r="T152">
        <v>41.988999999999997</v>
      </c>
      <c r="U152">
        <v>7.96</v>
      </c>
      <c r="V152">
        <v>0</v>
      </c>
      <c r="W152">
        <v>3.5303900000000001</v>
      </c>
      <c r="X152">
        <v>40.1511</v>
      </c>
      <c r="Y152">
        <v>88.498900000000006</v>
      </c>
      <c r="Z152">
        <v>88.299179077148395</v>
      </c>
      <c r="AI152">
        <v>1</v>
      </c>
      <c r="AJ152">
        <v>1.4756872653961179</v>
      </c>
      <c r="AK152">
        <v>1.6131399869918821</v>
      </c>
      <c r="AL152">
        <v>5.8857524999999987E-2</v>
      </c>
      <c r="AM152">
        <f>VLOOKUP(D152,[1]Sheet1!$C$1:$D$191,2,FALSE)</f>
        <v>17</v>
      </c>
    </row>
    <row r="153" spans="1:39" x14ac:dyDescent="0.35">
      <c r="A153">
        <v>2019</v>
      </c>
      <c r="B153" t="s">
        <v>20</v>
      </c>
      <c r="C153">
        <v>17</v>
      </c>
      <c r="D153" t="s">
        <v>226</v>
      </c>
      <c r="E153">
        <v>2535461238.9302368</v>
      </c>
      <c r="F153">
        <v>50009623257</v>
      </c>
      <c r="G153">
        <v>52545084495.930237</v>
      </c>
      <c r="H153">
        <v>20159639089698.102</v>
      </c>
      <c r="I153">
        <v>21539982000000</v>
      </c>
      <c r="J153">
        <v>2.5838253301885696E-2</v>
      </c>
      <c r="K153">
        <v>61400.548154368698</v>
      </c>
      <c r="L153">
        <v>2.1177398257338487E-2</v>
      </c>
      <c r="M153">
        <v>60127.210276245904</v>
      </c>
      <c r="N153">
        <v>1.8122100752602099</v>
      </c>
      <c r="O153">
        <v>26.258480624542798</v>
      </c>
      <c r="P153">
        <v>194.73525891744401</v>
      </c>
      <c r="Q153">
        <v>22.5164895680971</v>
      </c>
      <c r="R153">
        <v>328329953</v>
      </c>
      <c r="S153">
        <v>4.5641972222469629E-3</v>
      </c>
      <c r="T153">
        <v>42.186</v>
      </c>
      <c r="U153">
        <v>7.96</v>
      </c>
      <c r="V153">
        <v>0</v>
      </c>
      <c r="W153">
        <v>3.4881739999999999</v>
      </c>
      <c r="X153">
        <v>38.727229999999999</v>
      </c>
      <c r="Y153">
        <v>89.430300000000003</v>
      </c>
      <c r="Z153">
        <v>87.888710021972699</v>
      </c>
      <c r="AI153">
        <v>1</v>
      </c>
      <c r="AJ153">
        <v>1.424172639846802</v>
      </c>
      <c r="AK153">
        <v>1.3345745801925659</v>
      </c>
      <c r="AL153">
        <v>0.1606754</v>
      </c>
      <c r="AM153">
        <f>VLOOKUP(D153,[1]Sheet1!$C$1:$D$191,2,FALSE)</f>
        <v>17</v>
      </c>
    </row>
    <row r="154" spans="1:39" x14ac:dyDescent="0.35">
      <c r="A154">
        <v>2020</v>
      </c>
      <c r="B154" t="s">
        <v>20</v>
      </c>
      <c r="C154">
        <v>17</v>
      </c>
      <c r="D154" t="s">
        <v>226</v>
      </c>
      <c r="E154">
        <v>2859004075.2645411</v>
      </c>
      <c r="F154">
        <v>72785228503.198639</v>
      </c>
      <c r="G154">
        <v>75644232578.463181</v>
      </c>
      <c r="H154">
        <v>19723580221938.199</v>
      </c>
      <c r="I154">
        <v>21354105000000</v>
      </c>
      <c r="J154">
        <v>-2.163029138665163E-2</v>
      </c>
      <c r="K154">
        <v>59493.145982013499</v>
      </c>
      <c r="L154">
        <v>-3.1064904625277133E-2</v>
      </c>
      <c r="M154">
        <v>61400.548154368698</v>
      </c>
      <c r="N154">
        <v>1.23358439630629</v>
      </c>
      <c r="O154">
        <v>23.079777869407302</v>
      </c>
      <c r="P154">
        <v>218.33561244074599</v>
      </c>
      <c r="Q154">
        <v>31.648931200816001</v>
      </c>
      <c r="R154">
        <v>331526933</v>
      </c>
      <c r="S154">
        <v>9.7370951714539425E-3</v>
      </c>
      <c r="T154">
        <v>41.018000000000001</v>
      </c>
      <c r="U154">
        <v>7.92</v>
      </c>
      <c r="V154">
        <v>0</v>
      </c>
      <c r="W154">
        <v>3.0543469999999999</v>
      </c>
      <c r="X154">
        <v>39.282980000000002</v>
      </c>
      <c r="Y154">
        <v>90.344700000000003</v>
      </c>
      <c r="Z154">
        <v>87.567657470703097</v>
      </c>
      <c r="AI154">
        <v>1</v>
      </c>
      <c r="AJ154">
        <v>1.3364937305450439</v>
      </c>
      <c r="AK154">
        <v>1.2384375333786011</v>
      </c>
      <c r="AL154">
        <v>0.1442648</v>
      </c>
      <c r="AM154">
        <f>VLOOKUP(D154,[1]Sheet1!$C$1:$D$191,2,FALSE)</f>
        <v>17</v>
      </c>
    </row>
    <row r="155" spans="1:39" x14ac:dyDescent="0.35">
      <c r="A155">
        <v>2013</v>
      </c>
      <c r="B155" t="s">
        <v>21</v>
      </c>
      <c r="C155">
        <v>18</v>
      </c>
      <c r="D155" t="s">
        <v>227</v>
      </c>
      <c r="E155">
        <v>15347655.522752</v>
      </c>
      <c r="G155">
        <v>15347655.522752</v>
      </c>
      <c r="H155">
        <v>174524584673.116</v>
      </c>
      <c r="I155">
        <v>229701430292.15701</v>
      </c>
      <c r="J155">
        <v>2.6000000000002129E-2</v>
      </c>
      <c r="K155">
        <v>4543.2344400485899</v>
      </c>
      <c r="L155">
        <v>5.4874362901127802E-3</v>
      </c>
      <c r="M155">
        <v>4518.4397895725997</v>
      </c>
      <c r="N155">
        <v>3.25423910998847</v>
      </c>
      <c r="O155">
        <v>59.151008157244</v>
      </c>
      <c r="P155">
        <v>15.0652748989807</v>
      </c>
      <c r="R155">
        <v>38414171</v>
      </c>
      <c r="S155">
        <v>2.0400616625873669E-2</v>
      </c>
      <c r="U155">
        <v>3.83</v>
      </c>
      <c r="V155">
        <v>6.5108408000000004</v>
      </c>
      <c r="W155">
        <v>3.2269070000000002</v>
      </c>
      <c r="X155">
        <v>66.873369999999994</v>
      </c>
      <c r="Y155">
        <v>22.5</v>
      </c>
      <c r="Z155">
        <v>35.438627563373799</v>
      </c>
      <c r="AJ155">
        <v>-0.69340193271636963</v>
      </c>
      <c r="AK155">
        <v>-1.138440608978271</v>
      </c>
      <c r="AL155">
        <v>6.5451675000000001E-2</v>
      </c>
      <c r="AM155">
        <f>VLOOKUP(D155,[1]Sheet1!$C$1:$D$191,2,FALSE)</f>
        <v>18</v>
      </c>
    </row>
    <row r="156" spans="1:39" x14ac:dyDescent="0.35">
      <c r="A156">
        <v>2014</v>
      </c>
      <c r="B156" t="s">
        <v>21</v>
      </c>
      <c r="C156">
        <v>18</v>
      </c>
      <c r="D156" t="s">
        <v>227</v>
      </c>
      <c r="E156">
        <v>12801814.35355</v>
      </c>
      <c r="G156">
        <v>12801814.35355</v>
      </c>
      <c r="H156">
        <v>181680092644.71399</v>
      </c>
      <c r="I156">
        <v>238942664192.59</v>
      </c>
      <c r="J156">
        <v>4.1000000000001355E-2</v>
      </c>
      <c r="K156">
        <v>4634.1014918394903</v>
      </c>
      <c r="L156">
        <v>2.0000520111818968E-2</v>
      </c>
      <c r="M156">
        <v>4543.2344400485899</v>
      </c>
      <c r="N156">
        <v>2.9169269206745798</v>
      </c>
      <c r="O156">
        <v>56.923541966986697</v>
      </c>
      <c r="P156">
        <v>16.4216636360138</v>
      </c>
      <c r="R156">
        <v>39205031</v>
      </c>
      <c r="S156">
        <v>2.0587714882614544E-2</v>
      </c>
      <c r="U156">
        <v>3.83</v>
      </c>
      <c r="V156">
        <v>7.6068540000000002</v>
      </c>
      <c r="W156">
        <v>3.1958890000000002</v>
      </c>
      <c r="X156">
        <v>66.806719999999999</v>
      </c>
      <c r="Y156">
        <v>29.5</v>
      </c>
      <c r="Z156">
        <v>36.042798359625799</v>
      </c>
      <c r="AJ156">
        <v>-0.80465096235275269</v>
      </c>
      <c r="AK156">
        <v>-1.3018894195556641</v>
      </c>
      <c r="AL156">
        <v>6.5004275E-2</v>
      </c>
      <c r="AM156">
        <f>VLOOKUP(D156,[1]Sheet1!$C$1:$D$191,2,FALSE)</f>
        <v>18</v>
      </c>
    </row>
    <row r="157" spans="1:39" x14ac:dyDescent="0.35">
      <c r="A157">
        <v>2015</v>
      </c>
      <c r="B157" t="s">
        <v>21</v>
      </c>
      <c r="C157">
        <v>18</v>
      </c>
      <c r="D157" t="s">
        <v>227</v>
      </c>
      <c r="E157">
        <v>11802857.899385231</v>
      </c>
      <c r="G157">
        <v>11802857.899385234</v>
      </c>
      <c r="H157">
        <v>187493855609.345</v>
      </c>
      <c r="I157">
        <v>187493855609.345</v>
      </c>
      <c r="J157">
        <v>3.2000000000000903E-2</v>
      </c>
      <c r="K157">
        <v>4685.0590272900199</v>
      </c>
      <c r="L157">
        <v>1.0996206177241527E-2</v>
      </c>
      <c r="M157">
        <v>4634.1014918394903</v>
      </c>
      <c r="N157">
        <v>4.7844470069388896</v>
      </c>
      <c r="O157">
        <v>53.204622590414502</v>
      </c>
      <c r="P157">
        <v>19.2203451351034</v>
      </c>
      <c r="R157">
        <v>40019529</v>
      </c>
      <c r="S157">
        <v>2.0775343858292064E-2</v>
      </c>
      <c r="U157">
        <v>3.95</v>
      </c>
      <c r="V157">
        <v>8.3500773000000006</v>
      </c>
      <c r="W157">
        <v>3.2835559999999999</v>
      </c>
      <c r="X157">
        <v>64.151589999999999</v>
      </c>
      <c r="Y157">
        <v>38.200000000000003</v>
      </c>
      <c r="Z157">
        <v>38.244473569555197</v>
      </c>
      <c r="AJ157">
        <v>-0.94196844100952148</v>
      </c>
      <c r="AK157">
        <v>-1.256905794143677</v>
      </c>
      <c r="AL157">
        <v>0.1093623</v>
      </c>
      <c r="AM157">
        <f>VLOOKUP(D157,[1]Sheet1!$C$1:$D$191,2,FALSE)</f>
        <v>18</v>
      </c>
    </row>
    <row r="158" spans="1:39" x14ac:dyDescent="0.35">
      <c r="A158">
        <v>2016</v>
      </c>
      <c r="B158" t="s">
        <v>21</v>
      </c>
      <c r="C158">
        <v>18</v>
      </c>
      <c r="D158" t="s">
        <v>227</v>
      </c>
      <c r="E158">
        <v>25012.285947893601</v>
      </c>
      <c r="G158">
        <v>25012.285947893601</v>
      </c>
      <c r="H158">
        <v>194806115978.10901</v>
      </c>
      <c r="I158">
        <v>180763839522.151</v>
      </c>
      <c r="J158">
        <v>3.8999999999997613E-2</v>
      </c>
      <c r="K158">
        <v>4768.7314008021804</v>
      </c>
      <c r="L158">
        <v>1.7859406471674506E-2</v>
      </c>
      <c r="M158">
        <v>4685.0590272900199</v>
      </c>
      <c r="N158">
        <v>6.3976948026875702</v>
      </c>
      <c r="O158">
        <v>49.760932792521601</v>
      </c>
      <c r="P158">
        <v>20.252454823048499</v>
      </c>
      <c r="R158">
        <v>40850721</v>
      </c>
      <c r="S158">
        <v>2.0769659732876915E-2</v>
      </c>
      <c r="U158">
        <v>3.56</v>
      </c>
      <c r="V158">
        <v>8.5708409999999997</v>
      </c>
      <c r="W158">
        <v>3.8248880000000001</v>
      </c>
      <c r="X158">
        <v>63.984389999999998</v>
      </c>
      <c r="Y158">
        <v>42.945500000000003</v>
      </c>
      <c r="Z158">
        <v>43.904062088092701</v>
      </c>
      <c r="AJ158">
        <v>-0.91665881872177124</v>
      </c>
      <c r="AK158">
        <v>-1.241429924964905</v>
      </c>
      <c r="AL158">
        <v>0.1193126</v>
      </c>
      <c r="AM158">
        <f>VLOOKUP(D158,[1]Sheet1!$C$1:$D$191,2,FALSE)</f>
        <v>18</v>
      </c>
    </row>
    <row r="159" spans="1:39" x14ac:dyDescent="0.35">
      <c r="A159">
        <v>2019</v>
      </c>
      <c r="B159" t="s">
        <v>21</v>
      </c>
      <c r="C159">
        <v>18</v>
      </c>
      <c r="D159" t="s">
        <v>227</v>
      </c>
      <c r="E159">
        <v>14559.12274212</v>
      </c>
      <c r="G159">
        <v>14559.12274212</v>
      </c>
      <c r="H159">
        <v>202300870249.46201</v>
      </c>
      <c r="I159">
        <v>193459662090.677</v>
      </c>
      <c r="J159">
        <v>8.9999999999977511E-3</v>
      </c>
      <c r="K159">
        <v>4672.6640868219802</v>
      </c>
      <c r="L159">
        <v>-9.3999296123803786E-3</v>
      </c>
      <c r="M159">
        <v>4717.0035885355601</v>
      </c>
      <c r="N159">
        <v>1.95176821052892</v>
      </c>
      <c r="O159">
        <v>46.506842608167197</v>
      </c>
      <c r="P159">
        <v>22.9128695368994</v>
      </c>
      <c r="R159">
        <v>43294546</v>
      </c>
      <c r="S159">
        <v>1.8574528876402523E-2</v>
      </c>
      <c r="U159">
        <v>4.01</v>
      </c>
      <c r="V159">
        <v>9.6353925</v>
      </c>
      <c r="W159">
        <v>3.6366939999999999</v>
      </c>
      <c r="X159">
        <v>69.216949999999997</v>
      </c>
      <c r="Y159">
        <v>55.790700000000001</v>
      </c>
      <c r="Z159">
        <v>53.864501820312199</v>
      </c>
      <c r="AJ159">
        <v>-0.86103415489196777</v>
      </c>
      <c r="AK159">
        <v>-1.388313293457031</v>
      </c>
      <c r="AL159">
        <v>0.30558999999999997</v>
      </c>
      <c r="AM159">
        <f>VLOOKUP(D159,[1]Sheet1!$C$1:$D$191,2,FALSE)</f>
        <v>18</v>
      </c>
    </row>
    <row r="160" spans="1:39" x14ac:dyDescent="0.35">
      <c r="A160">
        <v>2020</v>
      </c>
      <c r="B160" t="s">
        <v>21</v>
      </c>
      <c r="C160">
        <v>18</v>
      </c>
      <c r="D160" t="s">
        <v>227</v>
      </c>
      <c r="E160">
        <v>74818.346846910004</v>
      </c>
      <c r="G160">
        <v>74818.346846910004</v>
      </c>
      <c r="H160">
        <v>192185826736.98901</v>
      </c>
      <c r="I160">
        <v>164873415325.20099</v>
      </c>
      <c r="J160">
        <v>-4.9999999999999462E-2</v>
      </c>
      <c r="K160">
        <v>4363.6853376691197</v>
      </c>
      <c r="L160">
        <v>-6.6124750979693517E-2</v>
      </c>
      <c r="M160">
        <v>4672.6640868219802</v>
      </c>
      <c r="N160">
        <v>2.4151309408341399</v>
      </c>
      <c r="O160">
        <v>40.3897565625388</v>
      </c>
      <c r="P160">
        <v>26.117213419446198</v>
      </c>
      <c r="R160">
        <v>44042091</v>
      </c>
      <c r="S160">
        <v>1.7266493567111203E-2</v>
      </c>
      <c r="U160">
        <v>3.77</v>
      </c>
      <c r="V160">
        <v>8.9021699999999999</v>
      </c>
      <c r="W160">
        <v>2.9537930000000001</v>
      </c>
      <c r="X160">
        <v>87.355450000000005</v>
      </c>
      <c r="Y160">
        <v>63.472700000000003</v>
      </c>
      <c r="Z160">
        <v>53.375219220898799</v>
      </c>
      <c r="AJ160">
        <v>-0.79802757501602173</v>
      </c>
      <c r="AK160">
        <v>-1.355300307273865</v>
      </c>
      <c r="AL160">
        <v>0.126770775</v>
      </c>
      <c r="AM160">
        <f>VLOOKUP(D160,[1]Sheet1!$C$1:$D$191,2,FALSE)</f>
        <v>18</v>
      </c>
    </row>
    <row r="161" spans="1:39" x14ac:dyDescent="0.35">
      <c r="A161">
        <v>2013</v>
      </c>
      <c r="B161" t="s">
        <v>22</v>
      </c>
      <c r="C161">
        <v>19</v>
      </c>
      <c r="D161" t="s">
        <v>228</v>
      </c>
      <c r="E161">
        <v>1370116</v>
      </c>
      <c r="F161">
        <v>800000</v>
      </c>
      <c r="G161">
        <v>2170116</v>
      </c>
      <c r="H161">
        <v>593858966307.15601</v>
      </c>
      <c r="I161">
        <v>552025140252.24597</v>
      </c>
      <c r="J161">
        <v>2.4053237807942822E-2</v>
      </c>
      <c r="K161">
        <v>13946.0950832252</v>
      </c>
      <c r="L161">
        <v>1.3935126605673705E-2</v>
      </c>
      <c r="M161">
        <v>13754.4254235596</v>
      </c>
      <c r="O161">
        <v>29.333929002103702</v>
      </c>
      <c r="P161">
        <v>15.7290920133564</v>
      </c>
      <c r="R161">
        <v>42582455</v>
      </c>
      <c r="S161">
        <v>9.979051851322673E-3</v>
      </c>
      <c r="T161">
        <v>49.781999999999996</v>
      </c>
      <c r="U161">
        <v>6.84</v>
      </c>
      <c r="V161">
        <v>43.337494999999997</v>
      </c>
      <c r="W161">
        <v>8.0601260000000003</v>
      </c>
      <c r="X161">
        <v>35.562309999999997</v>
      </c>
      <c r="Y161">
        <v>59.9</v>
      </c>
      <c r="Z161">
        <v>78.568164608193896</v>
      </c>
      <c r="AF161">
        <v>0</v>
      </c>
      <c r="AJ161">
        <v>-0.65632861852645874</v>
      </c>
      <c r="AK161">
        <v>-0.92813479900360107</v>
      </c>
      <c r="AL161">
        <v>0.114983825</v>
      </c>
      <c r="AM161">
        <f>VLOOKUP(D161,[1]Sheet1!$C$1:$D$191,2,FALSE)</f>
        <v>19</v>
      </c>
    </row>
    <row r="162" spans="1:39" x14ac:dyDescent="0.35">
      <c r="A162">
        <v>2014</v>
      </c>
      <c r="B162" t="s">
        <v>22</v>
      </c>
      <c r="C162">
        <v>19</v>
      </c>
      <c r="D162" t="s">
        <v>228</v>
      </c>
      <c r="E162">
        <v>1064136</v>
      </c>
      <c r="F162">
        <v>1700000</v>
      </c>
      <c r="G162">
        <v>2764136</v>
      </c>
      <c r="H162">
        <v>578937574935.69604</v>
      </c>
      <c r="I162">
        <v>526319673731.638</v>
      </c>
      <c r="J162">
        <v>-2.5126153208137825E-2</v>
      </c>
      <c r="K162">
        <v>13456.131915915101</v>
      </c>
      <c r="L162">
        <v>-3.5132642104200369E-2</v>
      </c>
      <c r="M162">
        <v>13946.0950832252</v>
      </c>
      <c r="O162">
        <v>28.406793645227499</v>
      </c>
      <c r="P162">
        <v>13.8237692455151</v>
      </c>
      <c r="Q162">
        <v>24.5697808575806</v>
      </c>
      <c r="R162">
        <v>43024071</v>
      </c>
      <c r="S162">
        <v>1.0370844048329294E-2</v>
      </c>
      <c r="T162">
        <v>49.826999999999998</v>
      </c>
      <c r="U162">
        <v>6.84</v>
      </c>
      <c r="V162">
        <v>45.668013999999999</v>
      </c>
      <c r="W162">
        <v>8.2032059999999998</v>
      </c>
      <c r="X162">
        <v>36.614260000000002</v>
      </c>
      <c r="Y162">
        <v>64.7</v>
      </c>
      <c r="Z162">
        <v>81.072589697739005</v>
      </c>
      <c r="AF162">
        <v>0</v>
      </c>
      <c r="AJ162">
        <v>-0.86662733554840088</v>
      </c>
      <c r="AK162">
        <v>-1.0661495923995969</v>
      </c>
      <c r="AL162">
        <v>8.9887825000000005E-2</v>
      </c>
      <c r="AM162">
        <f>VLOOKUP(D162,[1]Sheet1!$C$1:$D$191,2,FALSE)</f>
        <v>19</v>
      </c>
    </row>
    <row r="163" spans="1:39" x14ac:dyDescent="0.35">
      <c r="A163">
        <v>2015</v>
      </c>
      <c r="B163" t="s">
        <v>22</v>
      </c>
      <c r="C163">
        <v>19</v>
      </c>
      <c r="D163" t="s">
        <v>228</v>
      </c>
      <c r="E163">
        <v>1354516</v>
      </c>
      <c r="F163">
        <v>8200000</v>
      </c>
      <c r="G163">
        <v>9554516</v>
      </c>
      <c r="H163">
        <v>594749285413.21204</v>
      </c>
      <c r="I163">
        <v>594749285413.21204</v>
      </c>
      <c r="J163">
        <v>2.7311598282892997E-2</v>
      </c>
      <c r="K163">
        <v>13679.6264980954</v>
      </c>
      <c r="L163">
        <v>1.6609125384388027E-2</v>
      </c>
      <c r="M163">
        <v>13456.131915915101</v>
      </c>
      <c r="O163">
        <v>22.486226088979201</v>
      </c>
      <c r="P163">
        <v>14.4142330417064</v>
      </c>
      <c r="Q163">
        <v>25.008393234704801</v>
      </c>
      <c r="R163">
        <v>43477012</v>
      </c>
      <c r="S163">
        <v>1.052761836507754E-2</v>
      </c>
      <c r="U163">
        <v>7.02</v>
      </c>
      <c r="V163">
        <v>47.513950000000001</v>
      </c>
      <c r="W163">
        <v>7.4017369999999998</v>
      </c>
      <c r="X163">
        <v>54.035449999999997</v>
      </c>
      <c r="Y163">
        <v>68.043099999999995</v>
      </c>
      <c r="Z163">
        <v>83.755693325889993</v>
      </c>
      <c r="AF163">
        <v>0</v>
      </c>
      <c r="AJ163">
        <v>-0.74863588809967041</v>
      </c>
      <c r="AK163">
        <v>-0.8980223536491394</v>
      </c>
      <c r="AL163">
        <v>0.120720225</v>
      </c>
      <c r="AM163">
        <f>VLOOKUP(D163,[1]Sheet1!$C$1:$D$191,2,FALSE)</f>
        <v>19</v>
      </c>
    </row>
    <row r="164" spans="1:39" x14ac:dyDescent="0.35">
      <c r="A164">
        <v>2016</v>
      </c>
      <c r="B164" t="s">
        <v>22</v>
      </c>
      <c r="C164">
        <v>19</v>
      </c>
      <c r="D164" t="s">
        <v>228</v>
      </c>
      <c r="E164">
        <v>1189970.7842907589</v>
      </c>
      <c r="F164">
        <v>11392500</v>
      </c>
      <c r="G164">
        <v>12582470.784290759</v>
      </c>
      <c r="H164">
        <v>582376550428.08997</v>
      </c>
      <c r="I164">
        <v>557532320662.95496</v>
      </c>
      <c r="J164">
        <v>-2.080327843778056E-2</v>
      </c>
      <c r="K164">
        <v>13265.8860639123</v>
      </c>
      <c r="L164">
        <v>-3.0245009557878302E-2</v>
      </c>
      <c r="M164">
        <v>13679.6264980954</v>
      </c>
      <c r="O164">
        <v>26.093887848879898</v>
      </c>
      <c r="P164">
        <v>13.667633427351401</v>
      </c>
      <c r="Q164">
        <v>26.179916483246899</v>
      </c>
      <c r="R164">
        <v>43900313</v>
      </c>
      <c r="S164">
        <v>9.7362026626852827E-3</v>
      </c>
      <c r="U164">
        <v>6.96</v>
      </c>
      <c r="V164">
        <v>50.345793</v>
      </c>
      <c r="W164">
        <v>10.24061</v>
      </c>
      <c r="X164">
        <v>52.522150000000003</v>
      </c>
      <c r="Y164">
        <v>70.968999999999994</v>
      </c>
      <c r="Z164">
        <v>86.674383290639895</v>
      </c>
      <c r="AF164">
        <v>0</v>
      </c>
      <c r="AJ164">
        <v>-0.32015952467918402</v>
      </c>
      <c r="AK164">
        <v>-0.34757116436958307</v>
      </c>
      <c r="AL164">
        <v>6.2277350000000002E-2</v>
      </c>
      <c r="AM164">
        <f>VLOOKUP(D164,[1]Sheet1!$C$1:$D$191,2,FALSE)</f>
        <v>19</v>
      </c>
    </row>
    <row r="165" spans="1:39" x14ac:dyDescent="0.35">
      <c r="A165">
        <v>2017</v>
      </c>
      <c r="B165" t="s">
        <v>22</v>
      </c>
      <c r="C165">
        <v>19</v>
      </c>
      <c r="D165" t="s">
        <v>228</v>
      </c>
      <c r="E165">
        <v>3081707.1916999999</v>
      </c>
      <c r="F165">
        <v>26797365.34</v>
      </c>
      <c r="G165">
        <v>29879072.5317</v>
      </c>
      <c r="H165">
        <v>598790850843.677</v>
      </c>
      <c r="I165">
        <v>643628393281.36401</v>
      </c>
      <c r="J165">
        <v>2.8185029777592019E-2</v>
      </c>
      <c r="K165">
        <v>13520.1129846159</v>
      </c>
      <c r="L165">
        <v>1.9163960814889244E-2</v>
      </c>
      <c r="M165">
        <v>13265.8860639123</v>
      </c>
      <c r="O165">
        <v>25.289601137677899</v>
      </c>
      <c r="P165">
        <v>15.958497342058299</v>
      </c>
      <c r="Q165">
        <v>24.2825320419979</v>
      </c>
      <c r="R165">
        <v>44288894</v>
      </c>
      <c r="S165">
        <v>8.8514403074984906E-3</v>
      </c>
      <c r="T165">
        <v>48.494999999999997</v>
      </c>
      <c r="U165">
        <v>6.96</v>
      </c>
      <c r="V165">
        <v>53.115203999999999</v>
      </c>
      <c r="W165">
        <v>8.4479489999999995</v>
      </c>
      <c r="X165">
        <v>49.473390000000002</v>
      </c>
      <c r="Y165">
        <v>74.294899999999998</v>
      </c>
      <c r="Z165">
        <v>89.329734695241498</v>
      </c>
      <c r="AF165">
        <v>0</v>
      </c>
      <c r="AJ165">
        <v>-0.23731203377246859</v>
      </c>
      <c r="AK165">
        <v>-0.1964302062988281</v>
      </c>
      <c r="AL165">
        <v>5.9636175E-2</v>
      </c>
      <c r="AM165">
        <f>VLOOKUP(D165,[1]Sheet1!$C$1:$D$191,2,FALSE)</f>
        <v>19</v>
      </c>
    </row>
    <row r="166" spans="1:39" x14ac:dyDescent="0.35">
      <c r="A166">
        <v>2018</v>
      </c>
      <c r="B166" t="s">
        <v>22</v>
      </c>
      <c r="C166">
        <v>19</v>
      </c>
      <c r="D166" t="s">
        <v>228</v>
      </c>
      <c r="E166">
        <v>5467027.2567499997</v>
      </c>
      <c r="F166">
        <v>123733476.560231</v>
      </c>
      <c r="G166">
        <v>129200503.81698099</v>
      </c>
      <c r="H166">
        <v>583118120294.00195</v>
      </c>
      <c r="I166">
        <v>524819892360.17603</v>
      </c>
      <c r="J166">
        <v>-2.6173964628204784E-2</v>
      </c>
      <c r="K166">
        <v>13058.3285449954</v>
      </c>
      <c r="L166">
        <v>-3.4155368386784166E-2</v>
      </c>
      <c r="M166">
        <v>13520.1129846159</v>
      </c>
      <c r="O166">
        <v>30.7625359549926</v>
      </c>
      <c r="Q166">
        <v>22.687780624746299</v>
      </c>
      <c r="R166">
        <v>44654882</v>
      </c>
      <c r="S166">
        <v>8.2636518310888508E-3</v>
      </c>
      <c r="T166">
        <v>48.457999999999998</v>
      </c>
      <c r="U166">
        <v>7.02</v>
      </c>
      <c r="V166">
        <v>58.983342999999998</v>
      </c>
      <c r="W166">
        <v>7.0285219999999997</v>
      </c>
      <c r="X166">
        <v>54.380699999999997</v>
      </c>
      <c r="Y166">
        <v>77.7</v>
      </c>
      <c r="Z166">
        <v>91.084651273276606</v>
      </c>
      <c r="AF166">
        <v>0</v>
      </c>
      <c r="AJ166">
        <v>-0.21933043003082281</v>
      </c>
      <c r="AK166">
        <v>-0.19597762823104861</v>
      </c>
      <c r="AL166">
        <v>0.11140129999999999</v>
      </c>
      <c r="AM166">
        <f>VLOOKUP(D166,[1]Sheet1!$C$1:$D$191,2,FALSE)</f>
        <v>19</v>
      </c>
    </row>
    <row r="167" spans="1:39" x14ac:dyDescent="0.35">
      <c r="A167">
        <v>2019</v>
      </c>
      <c r="B167" t="s">
        <v>22</v>
      </c>
      <c r="C167">
        <v>19</v>
      </c>
      <c r="D167" t="s">
        <v>228</v>
      </c>
      <c r="E167">
        <v>12745744.98493148</v>
      </c>
      <c r="F167">
        <v>45664802.761680081</v>
      </c>
      <c r="G167">
        <v>58410547.746611565</v>
      </c>
      <c r="H167">
        <v>571450737224.44202</v>
      </c>
      <c r="I167">
        <v>447754683615.22498</v>
      </c>
      <c r="J167">
        <v>-2.0008610028577685E-2</v>
      </c>
      <c r="K167">
        <v>12706.3978108968</v>
      </c>
      <c r="L167">
        <v>-2.6950672353352377E-2</v>
      </c>
      <c r="M167">
        <v>13058.3285449954</v>
      </c>
      <c r="O167">
        <v>32.6306150458499</v>
      </c>
      <c r="Q167">
        <v>22.036480926618999</v>
      </c>
      <c r="R167">
        <v>44973465</v>
      </c>
      <c r="S167">
        <v>7.1343375176761191E-3</v>
      </c>
      <c r="T167">
        <v>48.75</v>
      </c>
      <c r="U167">
        <v>7.02</v>
      </c>
      <c r="V167">
        <v>60.745210999999998</v>
      </c>
      <c r="W167">
        <v>10.45411</v>
      </c>
      <c r="X167">
        <v>45.562150000000003</v>
      </c>
      <c r="Y167">
        <v>79.947000000000003</v>
      </c>
      <c r="Z167">
        <v>95.192824064062805</v>
      </c>
      <c r="AF167">
        <v>0</v>
      </c>
      <c r="AJ167">
        <v>-0.42736044526100159</v>
      </c>
      <c r="AK167">
        <v>-0.4530797004699707</v>
      </c>
      <c r="AL167">
        <v>0.14268875</v>
      </c>
      <c r="AM167">
        <f>VLOOKUP(D167,[1]Sheet1!$C$1:$D$191,2,FALSE)</f>
        <v>19</v>
      </c>
    </row>
    <row r="168" spans="1:39" x14ac:dyDescent="0.35">
      <c r="A168">
        <v>2020</v>
      </c>
      <c r="B168" t="s">
        <v>22</v>
      </c>
      <c r="C168">
        <v>19</v>
      </c>
      <c r="D168" t="s">
        <v>228</v>
      </c>
      <c r="E168">
        <v>12876716.345781</v>
      </c>
      <c r="F168">
        <v>72548390.800439999</v>
      </c>
      <c r="G168">
        <v>85425107.146220997</v>
      </c>
      <c r="H168">
        <v>514874343768.06598</v>
      </c>
      <c r="I168">
        <v>385740508436.96503</v>
      </c>
      <c r="J168">
        <v>-9.9004848136463583E-2</v>
      </c>
      <c r="K168">
        <v>11393.050595787699</v>
      </c>
      <c r="L168">
        <v>-0.1033610968785186</v>
      </c>
      <c r="M168">
        <v>12706.3978108968</v>
      </c>
      <c r="O168">
        <v>30.203698807416</v>
      </c>
      <c r="Q168">
        <v>25.840530764474401</v>
      </c>
      <c r="R168">
        <v>45191965</v>
      </c>
      <c r="S168">
        <v>4.8584204041205187E-3</v>
      </c>
      <c r="T168">
        <v>44.911000000000001</v>
      </c>
      <c r="U168">
        <v>6.95</v>
      </c>
      <c r="V168">
        <v>62.451861000000001</v>
      </c>
      <c r="W168">
        <v>11.485900000000001</v>
      </c>
      <c r="X168">
        <v>44.836770000000001</v>
      </c>
      <c r="Y168">
        <v>85.514399999999995</v>
      </c>
      <c r="Z168">
        <v>99.369734871799594</v>
      </c>
      <c r="AF168">
        <v>0</v>
      </c>
      <c r="AJ168">
        <v>-0.48626595735549932</v>
      </c>
      <c r="AK168">
        <v>-0.49834427237510681</v>
      </c>
      <c r="AL168">
        <v>9.4183849999999986E-2</v>
      </c>
      <c r="AM168">
        <f>VLOOKUP(D168,[1]Sheet1!$C$1:$D$191,2,FALSE)</f>
        <v>19</v>
      </c>
    </row>
    <row r="169" spans="1:39" x14ac:dyDescent="0.35">
      <c r="A169">
        <v>2013</v>
      </c>
      <c r="B169" t="s">
        <v>23</v>
      </c>
      <c r="C169">
        <v>20</v>
      </c>
      <c r="D169" t="s">
        <v>229</v>
      </c>
      <c r="E169">
        <v>14655049.109999999</v>
      </c>
      <c r="F169">
        <v>11396250</v>
      </c>
      <c r="G169">
        <v>26051299.109999999</v>
      </c>
      <c r="H169">
        <v>1288884775424.0601</v>
      </c>
      <c r="I169">
        <v>1577123329410.8799</v>
      </c>
      <c r="J169">
        <v>2.6021933943655751E-2</v>
      </c>
      <c r="K169">
        <v>55728.017403571903</v>
      </c>
      <c r="L169">
        <v>8.5136469335844612E-3</v>
      </c>
      <c r="M169">
        <v>55257.573928736201</v>
      </c>
      <c r="N169">
        <v>2.4498886414254</v>
      </c>
      <c r="O169">
        <v>41.272879017427599</v>
      </c>
      <c r="P169">
        <v>124.70407488229699</v>
      </c>
      <c r="Q169">
        <v>25.8800823016892</v>
      </c>
      <c r="R169">
        <v>23128129</v>
      </c>
      <c r="S169">
        <v>1.7360485961994795E-2</v>
      </c>
      <c r="T169">
        <v>52.14</v>
      </c>
      <c r="U169">
        <v>9.1300000000000008</v>
      </c>
      <c r="V169">
        <v>161.16542999999999</v>
      </c>
      <c r="W169">
        <v>1.903321</v>
      </c>
      <c r="X169">
        <v>71.112449999999995</v>
      </c>
      <c r="Y169">
        <v>83.453500000000005</v>
      </c>
      <c r="AA169">
        <v>2018</v>
      </c>
      <c r="AB169">
        <v>2020</v>
      </c>
      <c r="AC169">
        <v>0</v>
      </c>
      <c r="AD169">
        <v>0</v>
      </c>
      <c r="AE169">
        <v>2</v>
      </c>
      <c r="AF169">
        <v>1</v>
      </c>
      <c r="AJ169">
        <v>1.7701008319854741</v>
      </c>
      <c r="AK169">
        <v>1.79121994972229</v>
      </c>
      <c r="AL169">
        <v>1.4966025000000001E-2</v>
      </c>
      <c r="AM169">
        <f>VLOOKUP(D169,[1]Sheet1!$C$1:$D$191,2,FALSE)</f>
        <v>20</v>
      </c>
    </row>
    <row r="170" spans="1:39" x14ac:dyDescent="0.35">
      <c r="A170">
        <v>2014</v>
      </c>
      <c r="B170" t="s">
        <v>23</v>
      </c>
      <c r="C170">
        <v>20</v>
      </c>
      <c r="D170" t="s">
        <v>229</v>
      </c>
      <c r="E170">
        <v>48837960.079999998</v>
      </c>
      <c r="F170">
        <v>51916000</v>
      </c>
      <c r="G170">
        <v>100753960.08</v>
      </c>
      <c r="H170">
        <v>1322334997273.4099</v>
      </c>
      <c r="I170">
        <v>1468265356427.76</v>
      </c>
      <c r="J170">
        <v>2.595284115940022E-2</v>
      </c>
      <c r="K170">
        <v>56327.853306327699</v>
      </c>
      <c r="L170">
        <v>1.0763632562269291E-2</v>
      </c>
      <c r="M170">
        <v>55728.017403571903</v>
      </c>
      <c r="N170">
        <v>2.4879227053140398</v>
      </c>
      <c r="O170">
        <v>42.484023027099397</v>
      </c>
      <c r="P170">
        <v>128.442294533427</v>
      </c>
      <c r="Q170">
        <v>26.2576336510283</v>
      </c>
      <c r="R170">
        <v>23475686</v>
      </c>
      <c r="S170">
        <v>1.5027458554905155E-2</v>
      </c>
      <c r="T170">
        <v>51.49</v>
      </c>
      <c r="U170">
        <v>9.01</v>
      </c>
      <c r="V170">
        <v>165.22853000000001</v>
      </c>
      <c r="W170">
        <v>1.9741839999999999</v>
      </c>
      <c r="X170">
        <v>70.92371</v>
      </c>
      <c r="Y170">
        <v>84</v>
      </c>
      <c r="AA170">
        <v>2018</v>
      </c>
      <c r="AB170">
        <v>2020</v>
      </c>
      <c r="AC170">
        <v>0</v>
      </c>
      <c r="AD170">
        <v>0</v>
      </c>
      <c r="AE170">
        <v>2</v>
      </c>
      <c r="AF170">
        <v>1</v>
      </c>
      <c r="AJ170">
        <v>1.918630838394165</v>
      </c>
      <c r="AK170">
        <v>1.8573734760284419</v>
      </c>
      <c r="AL170">
        <v>3.5981224999999999E-2</v>
      </c>
      <c r="AM170">
        <f>VLOOKUP(D170,[1]Sheet1!$C$1:$D$191,2,FALSE)</f>
        <v>20</v>
      </c>
    </row>
    <row r="171" spans="1:39" x14ac:dyDescent="0.35">
      <c r="A171">
        <v>2015</v>
      </c>
      <c r="B171" t="s">
        <v>23</v>
      </c>
      <c r="C171">
        <v>20</v>
      </c>
      <c r="D171" t="s">
        <v>229</v>
      </c>
      <c r="E171">
        <v>100522817.3</v>
      </c>
      <c r="F171">
        <v>272788438.75</v>
      </c>
      <c r="G171">
        <v>373311256.04999995</v>
      </c>
      <c r="H171">
        <v>1351296372254.3101</v>
      </c>
      <c r="I171">
        <v>1351296372254.3101</v>
      </c>
      <c r="J171">
        <v>2.1901692869520269E-2</v>
      </c>
      <c r="K171">
        <v>56739.026534659301</v>
      </c>
      <c r="L171">
        <v>7.2996431462693696E-3</v>
      </c>
      <c r="M171">
        <v>56327.853306327699</v>
      </c>
      <c r="N171">
        <v>1.50836672165921</v>
      </c>
      <c r="O171">
        <v>41.6639319280984</v>
      </c>
      <c r="P171">
        <v>136.353973851483</v>
      </c>
      <c r="Q171">
        <v>26.7642142270028</v>
      </c>
      <c r="R171">
        <v>23815995</v>
      </c>
      <c r="S171">
        <v>1.4496232399768849E-2</v>
      </c>
      <c r="T171">
        <v>49.54</v>
      </c>
      <c r="U171">
        <v>9.01</v>
      </c>
      <c r="V171">
        <v>163.89558</v>
      </c>
      <c r="W171">
        <v>1.5524819999999999</v>
      </c>
      <c r="X171">
        <v>69.935419999999993</v>
      </c>
      <c r="Y171">
        <v>84.560500000000005</v>
      </c>
      <c r="Z171">
        <v>119.679389953613</v>
      </c>
      <c r="AA171">
        <v>2018</v>
      </c>
      <c r="AB171">
        <v>2020</v>
      </c>
      <c r="AC171">
        <v>0</v>
      </c>
      <c r="AD171">
        <v>0</v>
      </c>
      <c r="AE171">
        <v>2</v>
      </c>
      <c r="AF171">
        <v>1</v>
      </c>
      <c r="AJ171">
        <v>1.7903206348419189</v>
      </c>
      <c r="AK171">
        <v>1.7774102687835689</v>
      </c>
      <c r="AL171">
        <v>5.6755674999999992E-2</v>
      </c>
      <c r="AM171">
        <f>VLOOKUP(D171,[1]Sheet1!$C$1:$D$191,2,FALSE)</f>
        <v>20</v>
      </c>
    </row>
    <row r="172" spans="1:39" x14ac:dyDescent="0.35">
      <c r="A172">
        <v>2016</v>
      </c>
      <c r="B172" t="s">
        <v>23</v>
      </c>
      <c r="C172">
        <v>20</v>
      </c>
      <c r="D172" t="s">
        <v>229</v>
      </c>
      <c r="E172">
        <v>60993024.977810271</v>
      </c>
      <c r="F172">
        <v>548603427</v>
      </c>
      <c r="G172">
        <v>609596451.97781026</v>
      </c>
      <c r="H172">
        <v>1388583854795.6299</v>
      </c>
      <c r="I172">
        <v>1206836962281.8401</v>
      </c>
      <c r="J172">
        <v>2.7593859723840382E-2</v>
      </c>
      <c r="K172">
        <v>57401.066226893898</v>
      </c>
      <c r="L172">
        <v>1.1668153873422328E-2</v>
      </c>
      <c r="M172">
        <v>56739.026534659301</v>
      </c>
      <c r="N172">
        <v>1.2769909449732399</v>
      </c>
      <c r="O172">
        <v>40.974079475775</v>
      </c>
      <c r="P172">
        <v>142.66370240764701</v>
      </c>
      <c r="Q172">
        <v>26.9840896451806</v>
      </c>
      <c r="R172">
        <v>24190907</v>
      </c>
      <c r="S172">
        <v>1.5742025474896178E-2</v>
      </c>
      <c r="T172">
        <v>49.27</v>
      </c>
      <c r="U172">
        <v>9.01</v>
      </c>
      <c r="V172">
        <v>167.69719000000001</v>
      </c>
      <c r="W172">
        <v>1.7673479999999999</v>
      </c>
      <c r="X172">
        <v>69.679370000000006</v>
      </c>
      <c r="Y172">
        <v>86.54</v>
      </c>
      <c r="Z172">
        <v>119.682777404785</v>
      </c>
      <c r="AA172">
        <v>2018</v>
      </c>
      <c r="AB172">
        <v>2020</v>
      </c>
      <c r="AC172">
        <v>0</v>
      </c>
      <c r="AD172">
        <v>0</v>
      </c>
      <c r="AE172">
        <v>2</v>
      </c>
      <c r="AF172">
        <v>1</v>
      </c>
      <c r="AI172">
        <v>1</v>
      </c>
      <c r="AJ172">
        <v>1.716665625572205</v>
      </c>
      <c r="AK172">
        <v>1.88573145866394</v>
      </c>
      <c r="AL172">
        <v>7.8054974999999999E-2</v>
      </c>
      <c r="AM172">
        <f>VLOOKUP(D172,[1]Sheet1!$C$1:$D$191,2,FALSE)</f>
        <v>20</v>
      </c>
    </row>
    <row r="173" spans="1:39" x14ac:dyDescent="0.35">
      <c r="A173">
        <v>2017</v>
      </c>
      <c r="B173" t="s">
        <v>23</v>
      </c>
      <c r="C173">
        <v>20</v>
      </c>
      <c r="D173" t="s">
        <v>229</v>
      </c>
      <c r="E173">
        <v>49565555</v>
      </c>
      <c r="F173">
        <v>1089171095</v>
      </c>
      <c r="G173">
        <v>1148515565</v>
      </c>
      <c r="H173">
        <v>1420237898460.73</v>
      </c>
      <c r="I173">
        <v>1325582658156.54</v>
      </c>
      <c r="J173">
        <v>2.2795917982035663E-2</v>
      </c>
      <c r="K173">
        <v>57750.648222168798</v>
      </c>
      <c r="L173">
        <v>6.0901655361780089E-3</v>
      </c>
      <c r="M173">
        <v>57401.066226893898</v>
      </c>
      <c r="N173">
        <v>1.9486474094452699</v>
      </c>
      <c r="O173">
        <v>42.203731676580396</v>
      </c>
      <c r="P173">
        <v>140.669087554556</v>
      </c>
      <c r="Q173">
        <v>26.633838836404198</v>
      </c>
      <c r="R173">
        <v>24592588</v>
      </c>
      <c r="S173">
        <v>1.6604627515619814E-2</v>
      </c>
      <c r="T173">
        <v>49.4</v>
      </c>
      <c r="U173">
        <v>9.09</v>
      </c>
      <c r="V173">
        <v>160.32438999999999</v>
      </c>
      <c r="W173">
        <v>1.7274510000000001</v>
      </c>
      <c r="X173">
        <v>69.900949999999995</v>
      </c>
      <c r="Y173">
        <v>86.545000000000002</v>
      </c>
      <c r="Z173">
        <v>109.99330902099599</v>
      </c>
      <c r="AA173">
        <v>2018</v>
      </c>
      <c r="AB173">
        <v>2020</v>
      </c>
      <c r="AC173">
        <v>0</v>
      </c>
      <c r="AD173">
        <v>0</v>
      </c>
      <c r="AE173">
        <v>2</v>
      </c>
      <c r="AF173">
        <v>1</v>
      </c>
      <c r="AI173">
        <v>1</v>
      </c>
      <c r="AJ173">
        <v>1.6459577083587651</v>
      </c>
      <c r="AK173">
        <v>1.923002362251282</v>
      </c>
      <c r="AL173">
        <v>0.1036953</v>
      </c>
      <c r="AM173">
        <f>VLOOKUP(D173,[1]Sheet1!$C$1:$D$191,2,FALSE)</f>
        <v>20</v>
      </c>
    </row>
    <row r="174" spans="1:39" x14ac:dyDescent="0.35">
      <c r="A174">
        <v>2018</v>
      </c>
      <c r="B174" t="s">
        <v>23</v>
      </c>
      <c r="C174">
        <v>20</v>
      </c>
      <c r="D174" t="s">
        <v>229</v>
      </c>
      <c r="E174">
        <v>146704769.51591519</v>
      </c>
      <c r="F174">
        <v>979841304.39109194</v>
      </c>
      <c r="G174">
        <v>1126546073.9070072</v>
      </c>
      <c r="H174">
        <v>1461119016244.3101</v>
      </c>
      <c r="I174">
        <v>1427809041019.4399</v>
      </c>
      <c r="J174">
        <v>2.8784697146786112E-2</v>
      </c>
      <c r="K174">
        <v>58530.782169711703</v>
      </c>
      <c r="L174">
        <v>1.350866131479082E-2</v>
      </c>
      <c r="M174">
        <v>57750.648222168798</v>
      </c>
      <c r="N174">
        <v>1.91140094445691</v>
      </c>
      <c r="O174">
        <v>43.7360650798433</v>
      </c>
      <c r="P174">
        <v>140.01938812374399</v>
      </c>
      <c r="Q174">
        <v>26.229380932604801</v>
      </c>
      <c r="R174">
        <v>24963258</v>
      </c>
      <c r="S174">
        <v>1.5072427513525621E-2</v>
      </c>
      <c r="T174">
        <v>42.68</v>
      </c>
      <c r="U174">
        <v>9.09</v>
      </c>
      <c r="V174">
        <v>146.17337000000001</v>
      </c>
      <c r="W174">
        <v>1.6548149999999999</v>
      </c>
      <c r="X174">
        <v>69.413709999999995</v>
      </c>
      <c r="Y174">
        <v>90</v>
      </c>
      <c r="Z174">
        <v>103.32209014892599</v>
      </c>
      <c r="AA174">
        <v>2018</v>
      </c>
      <c r="AB174">
        <v>2020</v>
      </c>
      <c r="AC174">
        <v>1</v>
      </c>
      <c r="AD174">
        <v>0</v>
      </c>
      <c r="AE174">
        <v>2</v>
      </c>
      <c r="AF174">
        <v>1</v>
      </c>
      <c r="AG174">
        <v>0</v>
      </c>
      <c r="AI174">
        <v>1</v>
      </c>
      <c r="AJ174">
        <v>1.674665570259094</v>
      </c>
      <c r="AK174">
        <v>1.8965772390365601</v>
      </c>
      <c r="AL174">
        <v>5.6260650000000002E-2</v>
      </c>
      <c r="AM174">
        <f>VLOOKUP(D174,[1]Sheet1!$C$1:$D$191,2,FALSE)</f>
        <v>20</v>
      </c>
    </row>
    <row r="175" spans="1:39" x14ac:dyDescent="0.35">
      <c r="A175">
        <v>2019</v>
      </c>
      <c r="B175" t="s">
        <v>23</v>
      </c>
      <c r="C175">
        <v>20</v>
      </c>
      <c r="D175" t="s">
        <v>229</v>
      </c>
      <c r="E175">
        <v>89798245.064733163</v>
      </c>
      <c r="F175">
        <v>1121974528.7300689</v>
      </c>
      <c r="G175">
        <v>1211772773.7948017</v>
      </c>
      <c r="H175">
        <v>1492847874023.8899</v>
      </c>
      <c r="I175">
        <v>1392723834562.6399</v>
      </c>
      <c r="J175">
        <v>2.1715450573722827E-2</v>
      </c>
      <c r="K175">
        <v>58924.733646241999</v>
      </c>
      <c r="L175">
        <v>6.7306716556088707E-3</v>
      </c>
      <c r="M175">
        <v>58530.782169711703</v>
      </c>
      <c r="N175">
        <v>1.61076787290379</v>
      </c>
      <c r="O175">
        <v>46.187501893629097</v>
      </c>
      <c r="P175">
        <v>136.21472648698</v>
      </c>
      <c r="Q175">
        <v>26.176502155014099</v>
      </c>
      <c r="R175">
        <v>25334826</v>
      </c>
      <c r="S175">
        <v>1.4884595592450313E-2</v>
      </c>
      <c r="T175">
        <v>42.371000000000002</v>
      </c>
      <c r="U175">
        <v>9.09</v>
      </c>
      <c r="V175">
        <v>136.53778</v>
      </c>
      <c r="W175">
        <v>1.557086</v>
      </c>
      <c r="X175">
        <v>68.294849999999997</v>
      </c>
      <c r="Y175">
        <v>93.609899999999996</v>
      </c>
      <c r="Z175">
        <v>109.759559631348</v>
      </c>
      <c r="AA175">
        <v>2018</v>
      </c>
      <c r="AB175">
        <v>2020</v>
      </c>
      <c r="AC175">
        <v>1</v>
      </c>
      <c r="AD175">
        <v>0</v>
      </c>
      <c r="AE175">
        <v>2</v>
      </c>
      <c r="AF175">
        <v>1</v>
      </c>
      <c r="AG175">
        <v>1</v>
      </c>
      <c r="AI175">
        <v>1</v>
      </c>
      <c r="AJ175">
        <v>1.694617033004761</v>
      </c>
      <c r="AK175">
        <v>1.8646460771560669</v>
      </c>
      <c r="AL175">
        <v>7.9015249999999995E-2</v>
      </c>
      <c r="AM175">
        <f>VLOOKUP(D175,[1]Sheet1!$C$1:$D$191,2,FALSE)</f>
        <v>20</v>
      </c>
    </row>
    <row r="176" spans="1:39" x14ac:dyDescent="0.35">
      <c r="A176">
        <v>2020</v>
      </c>
      <c r="B176" t="s">
        <v>23</v>
      </c>
      <c r="C176">
        <v>20</v>
      </c>
      <c r="D176" t="s">
        <v>229</v>
      </c>
      <c r="E176">
        <v>149571920.35887069</v>
      </c>
      <c r="F176">
        <v>1012503815.244045</v>
      </c>
      <c r="G176">
        <v>1162075735.6029155</v>
      </c>
      <c r="H176">
        <v>1491062566266.52</v>
      </c>
      <c r="I176">
        <v>1328414058378.3799</v>
      </c>
      <c r="J176">
        <v>-1.1959073583014681E-3</v>
      </c>
      <c r="K176">
        <v>58132.798523625999</v>
      </c>
      <c r="L176">
        <v>-1.3439774329238846E-2</v>
      </c>
      <c r="M176">
        <v>58924.733646241999</v>
      </c>
      <c r="N176">
        <v>0.84690553745930497</v>
      </c>
      <c r="O176">
        <v>44.6644560654359</v>
      </c>
      <c r="P176">
        <v>142.229832537004</v>
      </c>
      <c r="Q176">
        <v>30.255194753093701</v>
      </c>
      <c r="R176">
        <v>25649248</v>
      </c>
      <c r="S176">
        <v>1.2410663487485566E-2</v>
      </c>
      <c r="T176">
        <v>40.418999999999997</v>
      </c>
      <c r="U176">
        <v>8.9600000000000009</v>
      </c>
      <c r="V176">
        <v>129.69223</v>
      </c>
      <c r="W176">
        <v>1.6093519999999999</v>
      </c>
      <c r="X176">
        <v>69.398880000000005</v>
      </c>
      <c r="Y176">
        <v>94.6935</v>
      </c>
      <c r="Z176">
        <v>110.13922119140599</v>
      </c>
      <c r="AA176">
        <v>2018</v>
      </c>
      <c r="AB176">
        <v>2020</v>
      </c>
      <c r="AC176">
        <v>1</v>
      </c>
      <c r="AD176">
        <v>1</v>
      </c>
      <c r="AE176">
        <v>2</v>
      </c>
      <c r="AF176">
        <v>1</v>
      </c>
      <c r="AG176">
        <v>2</v>
      </c>
      <c r="AH176">
        <v>0</v>
      </c>
      <c r="AI176">
        <v>1</v>
      </c>
      <c r="AJ176">
        <v>1.6150035858154299</v>
      </c>
      <c r="AK176">
        <v>1.8139469623565669</v>
      </c>
      <c r="AL176">
        <v>9.1908099999999993E-2</v>
      </c>
      <c r="AM176">
        <f>VLOOKUP(D176,[1]Sheet1!$C$1:$D$191,2,FALSE)</f>
        <v>20</v>
      </c>
    </row>
    <row r="177" spans="1:39" x14ac:dyDescent="0.35">
      <c r="A177">
        <v>2013</v>
      </c>
      <c r="B177" t="s">
        <v>24</v>
      </c>
      <c r="C177">
        <v>21</v>
      </c>
      <c r="D177" t="s">
        <v>230</v>
      </c>
      <c r="E177">
        <v>475403.05965000001</v>
      </c>
      <c r="G177">
        <v>900403.69965000008</v>
      </c>
      <c r="H177">
        <v>371851835102.08502</v>
      </c>
      <c r="I177">
        <v>426580502769.41699</v>
      </c>
      <c r="J177">
        <v>-2.507265459266285E-3</v>
      </c>
      <c r="K177">
        <v>43851.367546478803</v>
      </c>
      <c r="L177">
        <v>-8.3690691723433686E-3</v>
      </c>
      <c r="M177">
        <v>44221.460004155597</v>
      </c>
      <c r="N177">
        <v>2.0001561690059702</v>
      </c>
      <c r="O177">
        <v>104.985374015367</v>
      </c>
      <c r="P177">
        <v>93.341139138806398</v>
      </c>
      <c r="Q177">
        <v>47.0162167230786</v>
      </c>
      <c r="R177">
        <v>8479823</v>
      </c>
      <c r="S177">
        <v>5.9112755873642099E-3</v>
      </c>
      <c r="T177">
        <v>36.335000000000001</v>
      </c>
      <c r="U177">
        <v>8.48</v>
      </c>
      <c r="V177">
        <v>117.2726</v>
      </c>
      <c r="W177">
        <v>1.483554</v>
      </c>
      <c r="X177">
        <v>48.24577</v>
      </c>
      <c r="Y177">
        <v>80.618799999999993</v>
      </c>
      <c r="Z177">
        <v>80.961601257324205</v>
      </c>
      <c r="AA177">
        <v>2018</v>
      </c>
      <c r="AB177">
        <v>2019</v>
      </c>
      <c r="AC177">
        <v>0</v>
      </c>
      <c r="AD177">
        <v>0</v>
      </c>
      <c r="AE177">
        <v>1</v>
      </c>
      <c r="AF177">
        <v>1</v>
      </c>
      <c r="AJ177">
        <v>1.83409059047699</v>
      </c>
      <c r="AK177">
        <v>1.4822137355804439</v>
      </c>
      <c r="AL177">
        <v>0.11561745</v>
      </c>
      <c r="AM177">
        <f>VLOOKUP(D177,[1]Sheet1!$C$1:$D$191,2,FALSE)</f>
        <v>21</v>
      </c>
    </row>
    <row r="178" spans="1:39" x14ac:dyDescent="0.35">
      <c r="A178">
        <v>2014</v>
      </c>
      <c r="B178" t="s">
        <v>24</v>
      </c>
      <c r="C178">
        <v>21</v>
      </c>
      <c r="D178" t="s">
        <v>230</v>
      </c>
      <c r="E178">
        <v>3321325</v>
      </c>
      <c r="G178">
        <v>4224725.4000000004</v>
      </c>
      <c r="H178">
        <v>374662287839.19501</v>
      </c>
      <c r="I178">
        <v>438556021078.034</v>
      </c>
      <c r="J178">
        <v>7.5579907689266286E-3</v>
      </c>
      <c r="K178">
        <v>43838.834684536298</v>
      </c>
      <c r="L178">
        <v>-2.8580321763561E-4</v>
      </c>
      <c r="M178">
        <v>43851.367546478803</v>
      </c>
      <c r="N178">
        <v>1.6058118295447401</v>
      </c>
      <c r="O178">
        <v>104.49673998926001</v>
      </c>
      <c r="P178">
        <v>88.359917125832794</v>
      </c>
      <c r="Q178">
        <v>47.937557279355403</v>
      </c>
      <c r="R178">
        <v>8546356</v>
      </c>
      <c r="S178">
        <v>7.84603640901467E-3</v>
      </c>
      <c r="T178">
        <v>36.863</v>
      </c>
      <c r="U178">
        <v>8.5399999999999991</v>
      </c>
      <c r="V178">
        <v>186.36714000000001</v>
      </c>
      <c r="W178">
        <v>1.199776</v>
      </c>
      <c r="X178">
        <v>42.508299999999998</v>
      </c>
      <c r="Y178">
        <v>80.995800000000003</v>
      </c>
      <c r="Z178">
        <v>81.019569396972699</v>
      </c>
      <c r="AA178">
        <v>2018</v>
      </c>
      <c r="AB178">
        <v>2019</v>
      </c>
      <c r="AC178">
        <v>0</v>
      </c>
      <c r="AD178">
        <v>0</v>
      </c>
      <c r="AE178">
        <v>1</v>
      </c>
      <c r="AF178">
        <v>1</v>
      </c>
      <c r="AJ178">
        <v>1.9384361505508421</v>
      </c>
      <c r="AK178">
        <v>1.482170104980469</v>
      </c>
      <c r="AL178">
        <v>6.6946724999999999E-2</v>
      </c>
      <c r="AM178">
        <f>VLOOKUP(D178,[1]Sheet1!$C$1:$D$191,2,FALSE)</f>
        <v>21</v>
      </c>
    </row>
    <row r="179" spans="1:39" x14ac:dyDescent="0.35">
      <c r="A179">
        <v>2015</v>
      </c>
      <c r="B179" t="s">
        <v>24</v>
      </c>
      <c r="C179">
        <v>21</v>
      </c>
      <c r="D179" t="s">
        <v>230</v>
      </c>
      <c r="E179">
        <v>11396052.413867859</v>
      </c>
      <c r="F179">
        <v>2220121.9999999888</v>
      </c>
      <c r="G179">
        <v>13616174.413867854</v>
      </c>
      <c r="H179">
        <v>379546097300.633</v>
      </c>
      <c r="I179">
        <v>379546097300.633</v>
      </c>
      <c r="J179">
        <v>1.3035230979890131E-2</v>
      </c>
      <c r="K179">
        <v>43915.228020857001</v>
      </c>
      <c r="L179">
        <v>1.7425950500379143E-3</v>
      </c>
      <c r="M179">
        <v>43838.834684536298</v>
      </c>
      <c r="N179">
        <v>0.89656333526031995</v>
      </c>
      <c r="O179">
        <v>103.11758174626</v>
      </c>
      <c r="P179">
        <v>86.439996499100801</v>
      </c>
      <c r="Q179">
        <v>46.564076131812698</v>
      </c>
      <c r="R179">
        <v>8642699</v>
      </c>
      <c r="S179">
        <v>1.1272991670368049E-2</v>
      </c>
      <c r="T179">
        <v>36.402999999999999</v>
      </c>
      <c r="U179">
        <v>8.5399999999999991</v>
      </c>
      <c r="V179">
        <v>183.27074999999999</v>
      </c>
      <c r="W179">
        <v>1.1971290000000001</v>
      </c>
      <c r="X179">
        <v>69.667209999999997</v>
      </c>
      <c r="Y179">
        <v>83.940100000000001</v>
      </c>
      <c r="Z179">
        <v>82.256309509277301</v>
      </c>
      <c r="AA179">
        <v>2018</v>
      </c>
      <c r="AB179">
        <v>2019</v>
      </c>
      <c r="AC179">
        <v>0</v>
      </c>
      <c r="AD179">
        <v>0</v>
      </c>
      <c r="AE179">
        <v>1</v>
      </c>
      <c r="AF179">
        <v>1</v>
      </c>
      <c r="AJ179">
        <v>1.814775347709656</v>
      </c>
      <c r="AK179">
        <v>1.3904470205307009</v>
      </c>
      <c r="AL179">
        <v>0.1065999</v>
      </c>
      <c r="AM179">
        <f>VLOOKUP(D179,[1]Sheet1!$C$1:$D$191,2,FALSE)</f>
        <v>21</v>
      </c>
    </row>
    <row r="180" spans="1:39" x14ac:dyDescent="0.35">
      <c r="A180">
        <v>2016</v>
      </c>
      <c r="B180" t="s">
        <v>24</v>
      </c>
      <c r="C180">
        <v>21</v>
      </c>
      <c r="D180" t="s">
        <v>230</v>
      </c>
      <c r="E180">
        <v>18357194.38080357</v>
      </c>
      <c r="F180">
        <v>5533230</v>
      </c>
      <c r="G180">
        <v>23890424.38080357</v>
      </c>
      <c r="H180">
        <v>387581921933.047</v>
      </c>
      <c r="I180">
        <v>393687359770.27301</v>
      </c>
      <c r="J180">
        <v>2.1172196709610586E-2</v>
      </c>
      <c r="K180">
        <v>44362.670291814502</v>
      </c>
      <c r="L180">
        <v>1.0188772576678728E-2</v>
      </c>
      <c r="M180">
        <v>43915.228020857001</v>
      </c>
      <c r="N180">
        <v>0.89159175265536195</v>
      </c>
      <c r="O180">
        <v>101.573494597172</v>
      </c>
      <c r="P180">
        <v>83.589753971145896</v>
      </c>
      <c r="Q180">
        <v>45.242519940078502</v>
      </c>
      <c r="R180">
        <v>8736668</v>
      </c>
      <c r="S180">
        <v>1.0872645223442353E-2</v>
      </c>
      <c r="T180">
        <v>37.573999999999998</v>
      </c>
      <c r="U180">
        <v>8.41</v>
      </c>
      <c r="V180">
        <v>162.92320000000001</v>
      </c>
      <c r="W180">
        <v>1.342838</v>
      </c>
      <c r="X180">
        <v>60.890900000000002</v>
      </c>
      <c r="Y180">
        <v>84.323700000000002</v>
      </c>
      <c r="Z180">
        <v>82.849693298339801</v>
      </c>
      <c r="AA180">
        <v>2018</v>
      </c>
      <c r="AB180">
        <v>2019</v>
      </c>
      <c r="AC180">
        <v>0</v>
      </c>
      <c r="AD180">
        <v>0</v>
      </c>
      <c r="AE180">
        <v>1</v>
      </c>
      <c r="AF180">
        <v>1</v>
      </c>
      <c r="AJ180">
        <v>1.7614618539810181</v>
      </c>
      <c r="AK180">
        <v>1.428890109062195</v>
      </c>
      <c r="AL180">
        <v>0.13139737500000001</v>
      </c>
      <c r="AM180">
        <f>VLOOKUP(D180,[1]Sheet1!$C$1:$D$191,2,FALSE)</f>
        <v>21</v>
      </c>
    </row>
    <row r="181" spans="1:39" x14ac:dyDescent="0.35">
      <c r="A181">
        <v>2017</v>
      </c>
      <c r="B181" t="s">
        <v>24</v>
      </c>
      <c r="C181">
        <v>21</v>
      </c>
      <c r="D181" t="s">
        <v>230</v>
      </c>
      <c r="E181">
        <v>18650821.66003567</v>
      </c>
      <c r="F181">
        <v>10961039.162310001</v>
      </c>
      <c r="G181">
        <v>37192589.993415676</v>
      </c>
      <c r="H181">
        <v>396388752620.72101</v>
      </c>
      <c r="I181">
        <v>414926138132.69098</v>
      </c>
      <c r="J181">
        <v>2.2722501203746418E-2</v>
      </c>
      <c r="K181">
        <v>45056.638690828899</v>
      </c>
      <c r="L181">
        <v>1.5643070952436403E-2</v>
      </c>
      <c r="M181">
        <v>44362.670291814502</v>
      </c>
      <c r="N181">
        <v>2.0812691138558699</v>
      </c>
      <c r="O181">
        <v>105.556066755438</v>
      </c>
      <c r="P181">
        <v>84.737086591152604</v>
      </c>
      <c r="Q181">
        <v>44.579355352502702</v>
      </c>
      <c r="R181">
        <v>8797566</v>
      </c>
      <c r="S181">
        <v>6.97039191600276E-3</v>
      </c>
      <c r="T181">
        <v>37</v>
      </c>
      <c r="U181">
        <v>8.42</v>
      </c>
      <c r="V181">
        <v>165.03676999999999</v>
      </c>
      <c r="W181">
        <v>1.3335349999999999</v>
      </c>
      <c r="X181">
        <v>61.262810000000002</v>
      </c>
      <c r="Y181">
        <v>87.935599999999994</v>
      </c>
      <c r="Z181">
        <v>83.839256286621094</v>
      </c>
      <c r="AA181">
        <v>2018</v>
      </c>
      <c r="AB181">
        <v>2019</v>
      </c>
      <c r="AC181">
        <v>0</v>
      </c>
      <c r="AD181">
        <v>0</v>
      </c>
      <c r="AE181">
        <v>1</v>
      </c>
      <c r="AF181">
        <v>1</v>
      </c>
      <c r="AJ181">
        <v>1.800354599952698</v>
      </c>
      <c r="AK181">
        <v>1.4278614521026609</v>
      </c>
      <c r="AL181">
        <v>7.8789150000000002E-2</v>
      </c>
      <c r="AM181">
        <f>VLOOKUP(D181,[1]Sheet1!$C$1:$D$191,2,FALSE)</f>
        <v>21</v>
      </c>
    </row>
    <row r="182" spans="1:39" x14ac:dyDescent="0.35">
      <c r="A182">
        <v>2018</v>
      </c>
      <c r="B182" t="s">
        <v>24</v>
      </c>
      <c r="C182">
        <v>21</v>
      </c>
      <c r="D182" t="s">
        <v>230</v>
      </c>
      <c r="E182">
        <v>27273844.664749999</v>
      </c>
      <c r="F182">
        <v>12064266.1</v>
      </c>
      <c r="G182">
        <v>39338110.764749996</v>
      </c>
      <c r="H182">
        <v>406235924727.36603</v>
      </c>
      <c r="I182">
        <v>452582294972.77502</v>
      </c>
      <c r="J182">
        <v>2.4842208668991037E-2</v>
      </c>
      <c r="K182">
        <v>45951.581895158197</v>
      </c>
      <c r="L182">
        <v>1.9862626914321072E-2</v>
      </c>
      <c r="M182">
        <v>45056.638690828899</v>
      </c>
      <c r="N182">
        <v>1.9983798142953999</v>
      </c>
      <c r="O182">
        <v>108.37796997182799</v>
      </c>
      <c r="P182">
        <v>84.862963877005797</v>
      </c>
      <c r="Q182">
        <v>43.9574360977699</v>
      </c>
      <c r="R182">
        <v>8840521</v>
      </c>
      <c r="S182">
        <v>4.8826004829062948E-3</v>
      </c>
      <c r="T182">
        <v>36.994</v>
      </c>
      <c r="U182">
        <v>8.2899999999999991</v>
      </c>
      <c r="V182">
        <v>169.40522000000001</v>
      </c>
      <c r="W182">
        <v>1.2384790000000001</v>
      </c>
      <c r="X182">
        <v>60.815010000000001</v>
      </c>
      <c r="Y182">
        <v>87.479100000000003</v>
      </c>
      <c r="Z182">
        <v>85.869888305664105</v>
      </c>
      <c r="AA182">
        <v>2018</v>
      </c>
      <c r="AB182">
        <v>2019</v>
      </c>
      <c r="AC182">
        <v>1</v>
      </c>
      <c r="AD182">
        <v>0</v>
      </c>
      <c r="AE182">
        <v>1</v>
      </c>
      <c r="AF182">
        <v>1</v>
      </c>
      <c r="AG182">
        <v>0</v>
      </c>
      <c r="AJ182">
        <v>1.8534830808639531</v>
      </c>
      <c r="AK182">
        <v>1.5240364074707029</v>
      </c>
      <c r="AL182">
        <v>4.0402825000000003E-2</v>
      </c>
      <c r="AM182">
        <f>VLOOKUP(D182,[1]Sheet1!$C$1:$D$191,2,FALSE)</f>
        <v>21</v>
      </c>
    </row>
    <row r="183" spans="1:39" x14ac:dyDescent="0.35">
      <c r="A183">
        <v>2019</v>
      </c>
      <c r="B183" t="s">
        <v>24</v>
      </c>
      <c r="C183">
        <v>21</v>
      </c>
      <c r="D183" t="s">
        <v>230</v>
      </c>
      <c r="E183">
        <v>22138052.995697759</v>
      </c>
      <c r="G183">
        <v>22138052.995697759</v>
      </c>
      <c r="H183">
        <v>413365269561.54901</v>
      </c>
      <c r="I183">
        <v>442983642371.84198</v>
      </c>
      <c r="J183">
        <v>1.7549764558532448E-2</v>
      </c>
      <c r="K183">
        <v>46550.562343078498</v>
      </c>
      <c r="L183">
        <v>1.3035034338685397E-2</v>
      </c>
      <c r="M183">
        <v>45951.581895158197</v>
      </c>
      <c r="N183">
        <v>1.5308956415264401</v>
      </c>
      <c r="O183">
        <v>108.207284904426</v>
      </c>
      <c r="P183">
        <v>86.3027943646251</v>
      </c>
      <c r="Q183">
        <v>43.75753288224</v>
      </c>
      <c r="R183">
        <v>8879920</v>
      </c>
      <c r="S183">
        <v>4.4566377931798363E-3</v>
      </c>
      <c r="T183">
        <v>36.93</v>
      </c>
      <c r="U183">
        <v>8.2899999999999991</v>
      </c>
      <c r="V183">
        <v>171.90913</v>
      </c>
      <c r="W183">
        <v>1.170004</v>
      </c>
      <c r="X183">
        <v>61.575009999999999</v>
      </c>
      <c r="Y183">
        <v>87.752200000000002</v>
      </c>
      <c r="Z183">
        <v>86.323432922363295</v>
      </c>
      <c r="AA183">
        <v>2018</v>
      </c>
      <c r="AB183">
        <v>2019</v>
      </c>
      <c r="AC183">
        <v>1</v>
      </c>
      <c r="AD183">
        <v>1</v>
      </c>
      <c r="AE183">
        <v>1</v>
      </c>
      <c r="AF183">
        <v>1</v>
      </c>
      <c r="AG183">
        <v>1</v>
      </c>
      <c r="AH183">
        <v>0</v>
      </c>
      <c r="AJ183">
        <v>1.8622981309890749</v>
      </c>
      <c r="AK183">
        <v>1.4464073181152339</v>
      </c>
      <c r="AL183">
        <v>8.0801049999999999E-2</v>
      </c>
      <c r="AM183">
        <f>VLOOKUP(D183,[1]Sheet1!$C$1:$D$191,2,FALSE)</f>
        <v>21</v>
      </c>
    </row>
    <row r="184" spans="1:39" x14ac:dyDescent="0.35">
      <c r="A184">
        <v>2020</v>
      </c>
      <c r="B184" t="s">
        <v>24</v>
      </c>
      <c r="C184">
        <v>21</v>
      </c>
      <c r="D184" t="s">
        <v>230</v>
      </c>
      <c r="E184">
        <v>52633904.73336646</v>
      </c>
      <c r="F184">
        <v>27511.0031323</v>
      </c>
      <c r="G184">
        <v>52661415.736498758</v>
      </c>
      <c r="H184">
        <v>387247796564.086</v>
      </c>
      <c r="I184">
        <v>434397601557.69598</v>
      </c>
      <c r="J184">
        <v>-6.3182552867021138E-2</v>
      </c>
      <c r="K184">
        <v>43428.698314125497</v>
      </c>
      <c r="L184">
        <v>-6.7063938045362509E-2</v>
      </c>
      <c r="M184">
        <v>46550.562343078498</v>
      </c>
      <c r="N184">
        <v>1.38191063351862</v>
      </c>
      <c r="O184">
        <v>99.948214109597501</v>
      </c>
      <c r="P184">
        <v>93.051633788691802</v>
      </c>
      <c r="Q184">
        <v>50.629589254729702</v>
      </c>
      <c r="R184">
        <v>8916864</v>
      </c>
      <c r="S184">
        <v>4.1603978414219952E-3</v>
      </c>
      <c r="T184">
        <v>37.283999999999999</v>
      </c>
      <c r="U184">
        <v>8.16</v>
      </c>
      <c r="V184">
        <v>167.95624000000001</v>
      </c>
      <c r="W184">
        <v>1.2143189999999999</v>
      </c>
      <c r="X184">
        <v>64.260980000000004</v>
      </c>
      <c r="Y184">
        <v>87.529399999999995</v>
      </c>
      <c r="Z184">
        <v>88.707199096679702</v>
      </c>
      <c r="AA184">
        <v>2018</v>
      </c>
      <c r="AB184">
        <v>2019</v>
      </c>
      <c r="AC184">
        <v>1</v>
      </c>
      <c r="AD184">
        <v>1</v>
      </c>
      <c r="AE184">
        <v>1</v>
      </c>
      <c r="AF184">
        <v>1</v>
      </c>
      <c r="AG184">
        <v>2</v>
      </c>
      <c r="AH184">
        <v>1</v>
      </c>
      <c r="AJ184">
        <v>1.7706089019775391</v>
      </c>
      <c r="AK184">
        <v>1.395227313041687</v>
      </c>
      <c r="AL184">
        <v>0.1206644</v>
      </c>
      <c r="AM184">
        <f>VLOOKUP(D184,[1]Sheet1!$C$1:$D$191,2,FALSE)</f>
        <v>21</v>
      </c>
    </row>
    <row r="185" spans="1:39" x14ac:dyDescent="0.35">
      <c r="A185">
        <v>2013</v>
      </c>
      <c r="B185" t="s">
        <v>25</v>
      </c>
      <c r="C185">
        <v>22</v>
      </c>
      <c r="D185" s="1" t="s">
        <v>346</v>
      </c>
      <c r="E185">
        <v>1167</v>
      </c>
      <c r="G185">
        <v>1167</v>
      </c>
      <c r="H185">
        <v>30416985616.3829</v>
      </c>
      <c r="I185">
        <v>33823324468.085098</v>
      </c>
      <c r="J185">
        <v>5.2926222490619262E-2</v>
      </c>
      <c r="K185">
        <v>24271.6278814506</v>
      </c>
      <c r="L185">
        <v>1.5766868455925905E-2</v>
      </c>
      <c r="M185">
        <v>23894.8804447088</v>
      </c>
      <c r="N185">
        <v>3.30001156888442</v>
      </c>
      <c r="O185">
        <v>184.58966610759799</v>
      </c>
      <c r="P185">
        <v>66.987639934358498</v>
      </c>
      <c r="Q185">
        <v>22.468616252947701</v>
      </c>
      <c r="R185">
        <v>1253191</v>
      </c>
      <c r="S185">
        <v>3.658256159819482E-2</v>
      </c>
      <c r="U185">
        <v>2.87</v>
      </c>
      <c r="V185">
        <v>0</v>
      </c>
      <c r="W185">
        <v>2.5804990000000001</v>
      </c>
      <c r="X185">
        <v>90.24991</v>
      </c>
      <c r="Y185">
        <v>90</v>
      </c>
      <c r="Z185">
        <v>44.127478854641303</v>
      </c>
      <c r="AA185">
        <v>2018</v>
      </c>
      <c r="AB185">
        <v>2020</v>
      </c>
      <c r="AC185">
        <v>0</v>
      </c>
      <c r="AD185">
        <v>0</v>
      </c>
      <c r="AE185">
        <v>2</v>
      </c>
      <c r="AF185">
        <v>1</v>
      </c>
      <c r="AJ185">
        <v>0.32632654905319208</v>
      </c>
      <c r="AK185">
        <v>0.60228252410888672</v>
      </c>
      <c r="AM185">
        <f>VLOOKUP(D185,[1]Sheet1!$C$1:$D$191,2,FALSE)</f>
        <v>22</v>
      </c>
    </row>
    <row r="186" spans="1:39" x14ac:dyDescent="0.35">
      <c r="A186">
        <v>2014</v>
      </c>
      <c r="B186" t="s">
        <v>25</v>
      </c>
      <c r="C186">
        <v>22</v>
      </c>
      <c r="D186" s="1" t="s">
        <v>346</v>
      </c>
      <c r="E186">
        <v>220</v>
      </c>
      <c r="G186">
        <v>220</v>
      </c>
      <c r="H186">
        <v>31727610007.968498</v>
      </c>
      <c r="I186">
        <v>34772526595.744698</v>
      </c>
      <c r="J186">
        <v>4.3088569265709295E-2</v>
      </c>
      <c r="K186">
        <v>24135.499130484899</v>
      </c>
      <c r="L186">
        <v>-5.6085546313824567E-3</v>
      </c>
      <c r="M186">
        <v>24271.6278814506</v>
      </c>
      <c r="N186">
        <v>2.6475532124618901</v>
      </c>
      <c r="O186">
        <v>168.57578165692399</v>
      </c>
      <c r="P186">
        <v>61.334799804504499</v>
      </c>
      <c r="Q186">
        <v>23.5115457835002</v>
      </c>
      <c r="R186">
        <v>1314562</v>
      </c>
      <c r="S186">
        <v>4.8971784827691871E-2</v>
      </c>
      <c r="U186">
        <v>2.87</v>
      </c>
      <c r="V186">
        <v>0</v>
      </c>
      <c r="W186">
        <v>2.6183399999999999</v>
      </c>
      <c r="X186">
        <v>90.478139999999996</v>
      </c>
      <c r="Y186">
        <v>90.503100000000003</v>
      </c>
      <c r="Z186">
        <v>44.786660242776101</v>
      </c>
      <c r="AA186">
        <v>2018</v>
      </c>
      <c r="AB186">
        <v>2020</v>
      </c>
      <c r="AC186">
        <v>0</v>
      </c>
      <c r="AD186">
        <v>0</v>
      </c>
      <c r="AE186">
        <v>2</v>
      </c>
      <c r="AF186">
        <v>1</v>
      </c>
      <c r="AJ186">
        <v>0.41311603784561157</v>
      </c>
      <c r="AK186">
        <v>0.70451879501342773</v>
      </c>
      <c r="AM186">
        <f>VLOOKUP(D186,[1]Sheet1!$C$1:$D$191,2,FALSE)</f>
        <v>22</v>
      </c>
    </row>
    <row r="187" spans="1:39" x14ac:dyDescent="0.35">
      <c r="A187">
        <v>2015</v>
      </c>
      <c r="B187" t="s">
        <v>25</v>
      </c>
      <c r="C187">
        <v>22</v>
      </c>
      <c r="D187" s="1" t="s">
        <v>346</v>
      </c>
      <c r="E187">
        <v>3694</v>
      </c>
      <c r="G187">
        <v>3694</v>
      </c>
      <c r="H187">
        <v>32523297872.340401</v>
      </c>
      <c r="I187">
        <v>32523297872.340401</v>
      </c>
      <c r="J187">
        <v>2.5078720526760849E-2</v>
      </c>
      <c r="K187">
        <v>23734.0551143019</v>
      </c>
      <c r="L187">
        <v>-1.663292787162399E-2</v>
      </c>
      <c r="M187">
        <v>24135.499130484899</v>
      </c>
      <c r="N187">
        <v>1.84862742374977</v>
      </c>
      <c r="O187">
        <v>147.43996938365001</v>
      </c>
      <c r="P187">
        <v>70.550080302500007</v>
      </c>
      <c r="Q187">
        <v>25.3293874440254</v>
      </c>
      <c r="R187">
        <v>1370322</v>
      </c>
      <c r="S187">
        <v>4.241717012967057E-2</v>
      </c>
      <c r="U187">
        <v>2.79</v>
      </c>
      <c r="V187">
        <v>0</v>
      </c>
      <c r="W187">
        <v>2.1239940000000002</v>
      </c>
      <c r="X187">
        <v>79.857669999999999</v>
      </c>
      <c r="Y187">
        <v>93.478300000000004</v>
      </c>
      <c r="Z187">
        <v>45.643986060755402</v>
      </c>
      <c r="AA187">
        <v>2018</v>
      </c>
      <c r="AB187">
        <v>2020</v>
      </c>
      <c r="AC187">
        <v>0</v>
      </c>
      <c r="AD187">
        <v>0</v>
      </c>
      <c r="AE187">
        <v>2</v>
      </c>
      <c r="AF187">
        <v>1</v>
      </c>
      <c r="AJ187">
        <v>0.40028071403503418</v>
      </c>
      <c r="AK187">
        <v>0.80401933193206787</v>
      </c>
      <c r="AM187">
        <f>VLOOKUP(D187,[1]Sheet1!$C$1:$D$191,2,FALSE)</f>
        <v>22</v>
      </c>
    </row>
    <row r="188" spans="1:39" x14ac:dyDescent="0.35">
      <c r="A188">
        <v>2016</v>
      </c>
      <c r="B188" t="s">
        <v>25</v>
      </c>
      <c r="C188">
        <v>22</v>
      </c>
      <c r="D188" s="1" t="s">
        <v>346</v>
      </c>
      <c r="E188">
        <v>5684.56427219544</v>
      </c>
      <c r="G188">
        <v>5684.56427219544</v>
      </c>
      <c r="H188">
        <v>33764059498.726101</v>
      </c>
      <c r="I188">
        <v>33884680851.063801</v>
      </c>
      <c r="J188">
        <v>3.8149932742242355E-2</v>
      </c>
      <c r="K188">
        <v>23715.279132871201</v>
      </c>
      <c r="L188">
        <v>-7.910987541014414E-4</v>
      </c>
      <c r="M188">
        <v>23734.0551143019</v>
      </c>
      <c r="N188">
        <v>2.7867934760204398</v>
      </c>
      <c r="O188">
        <v>132.414933629708</v>
      </c>
      <c r="Q188">
        <v>24.499656418437301</v>
      </c>
      <c r="R188">
        <v>1423726</v>
      </c>
      <c r="S188">
        <v>3.8971862087888831E-2</v>
      </c>
      <c r="U188">
        <v>2.79</v>
      </c>
      <c r="V188">
        <v>0</v>
      </c>
      <c r="W188">
        <v>2.2468189999999999</v>
      </c>
      <c r="X188">
        <v>79.931430000000006</v>
      </c>
      <c r="Y188">
        <v>98</v>
      </c>
      <c r="Z188">
        <v>46.763177260601601</v>
      </c>
      <c r="AA188">
        <v>2018</v>
      </c>
      <c r="AB188">
        <v>2020</v>
      </c>
      <c r="AC188">
        <v>0</v>
      </c>
      <c r="AD188">
        <v>0</v>
      </c>
      <c r="AE188">
        <v>2</v>
      </c>
      <c r="AF188">
        <v>1</v>
      </c>
      <c r="AJ188">
        <v>0.43052756786346441</v>
      </c>
      <c r="AK188">
        <v>0.59587556123733521</v>
      </c>
      <c r="AM188">
        <f>VLOOKUP(D188,[1]Sheet1!$C$1:$D$191,2,FALSE)</f>
        <v>22</v>
      </c>
    </row>
    <row r="189" spans="1:39" x14ac:dyDescent="0.35">
      <c r="A189">
        <v>2013</v>
      </c>
      <c r="B189" t="s">
        <v>26</v>
      </c>
      <c r="C189">
        <v>23</v>
      </c>
      <c r="D189" t="s">
        <v>231</v>
      </c>
      <c r="E189">
        <v>1894.788786542</v>
      </c>
      <c r="G189">
        <v>1894.788786542</v>
      </c>
      <c r="H189">
        <v>10520350022.206499</v>
      </c>
      <c r="I189">
        <v>12517845127.6775</v>
      </c>
      <c r="J189">
        <v>7.1914337214492641E-2</v>
      </c>
      <c r="K189">
        <v>982.39920631942903</v>
      </c>
      <c r="L189">
        <v>4.0766680269639796E-2</v>
      </c>
      <c r="M189">
        <v>943.91877155878103</v>
      </c>
      <c r="N189">
        <v>0.42888888888879201</v>
      </c>
      <c r="O189">
        <v>59.200191833187503</v>
      </c>
      <c r="P189">
        <v>16.453949848264301</v>
      </c>
      <c r="R189">
        <v>10708834</v>
      </c>
      <c r="S189">
        <v>2.992760772931825E-2</v>
      </c>
      <c r="U189">
        <v>5.87</v>
      </c>
      <c r="V189">
        <v>4.4881297</v>
      </c>
      <c r="W189">
        <v>2.330384</v>
      </c>
      <c r="X189">
        <v>87.469759999999994</v>
      </c>
      <c r="Y189">
        <v>4.9000000000000004</v>
      </c>
      <c r="Z189">
        <v>14.775219917297401</v>
      </c>
      <c r="AJ189">
        <v>-0.56817883253097534</v>
      </c>
      <c r="AK189">
        <v>-0.41554996371269232</v>
      </c>
      <c r="AL189">
        <v>6.6178424999999999E-2</v>
      </c>
      <c r="AM189">
        <f>VLOOKUP(D189,[1]Sheet1!$C$1:$D$191,2,FALSE)</f>
        <v>23</v>
      </c>
    </row>
    <row r="190" spans="1:39" x14ac:dyDescent="0.35">
      <c r="A190">
        <v>2014</v>
      </c>
      <c r="B190" t="s">
        <v>26</v>
      </c>
      <c r="C190">
        <v>23</v>
      </c>
      <c r="D190" t="s">
        <v>231</v>
      </c>
      <c r="E190">
        <v>29595</v>
      </c>
      <c r="G190">
        <v>29595</v>
      </c>
      <c r="H190">
        <v>11189200116.5963</v>
      </c>
      <c r="I190">
        <v>13284527850.263201</v>
      </c>
      <c r="J190">
        <v>6.3576790979195857E-2</v>
      </c>
      <c r="K190">
        <v>1014.43300624336</v>
      </c>
      <c r="L190">
        <v>3.2607721706072998E-2</v>
      </c>
      <c r="M190">
        <v>982.39920631942903</v>
      </c>
      <c r="N190">
        <v>-0.54875755094809098</v>
      </c>
      <c r="O190">
        <v>65.2682749404551</v>
      </c>
      <c r="P190">
        <v>16.737109135635599</v>
      </c>
      <c r="R190">
        <v>11030004</v>
      </c>
      <c r="S190">
        <v>2.9991126951823141E-2</v>
      </c>
      <c r="U190">
        <v>5.65</v>
      </c>
      <c r="V190">
        <v>4.5216117999999996</v>
      </c>
      <c r="W190">
        <v>0</v>
      </c>
      <c r="X190">
        <v>0</v>
      </c>
      <c r="Y190">
        <v>6</v>
      </c>
      <c r="Z190">
        <v>14.6916198730469</v>
      </c>
      <c r="AJ190">
        <v>-0.48557427525520319</v>
      </c>
      <c r="AK190">
        <v>-0.6208420991897583</v>
      </c>
      <c r="AL190">
        <v>0.25086975</v>
      </c>
      <c r="AM190">
        <f>VLOOKUP(D190,[1]Sheet1!$C$1:$D$191,2,FALSE)</f>
        <v>23</v>
      </c>
    </row>
    <row r="191" spans="1:39" x14ac:dyDescent="0.35">
      <c r="A191">
        <v>2015</v>
      </c>
      <c r="B191" t="s">
        <v>26</v>
      </c>
      <c r="C191">
        <v>23</v>
      </c>
      <c r="D191" t="s">
        <v>231</v>
      </c>
      <c r="E191">
        <v>7583</v>
      </c>
      <c r="G191">
        <v>7583</v>
      </c>
      <c r="H191">
        <v>11388160997.1089</v>
      </c>
      <c r="I191">
        <v>11388160997.1089</v>
      </c>
      <c r="J191">
        <v>1.7781510603022702E-2</v>
      </c>
      <c r="K191">
        <v>1002.4188688256399</v>
      </c>
      <c r="L191">
        <v>-1.1843204375033757E-2</v>
      </c>
      <c r="M191">
        <v>1014.43300624336</v>
      </c>
      <c r="N191">
        <v>0.218785923536154</v>
      </c>
      <c r="O191">
        <v>56.756313184947601</v>
      </c>
      <c r="P191">
        <v>16.735706436467598</v>
      </c>
      <c r="R191">
        <v>11360681</v>
      </c>
      <c r="S191">
        <v>2.9979771539520746E-2</v>
      </c>
      <c r="U191">
        <v>5.72</v>
      </c>
      <c r="V191">
        <v>4.5979865999999996</v>
      </c>
      <c r="W191">
        <v>1.6777059999999999</v>
      </c>
      <c r="X191">
        <v>70.372320000000002</v>
      </c>
      <c r="Y191">
        <v>11.255000000000001</v>
      </c>
      <c r="Z191">
        <v>12.4851799011231</v>
      </c>
      <c r="AJ191">
        <v>-0.55559247732162476</v>
      </c>
      <c r="AK191">
        <v>-0.62176740169525146</v>
      </c>
      <c r="AL191">
        <v>0.22862484999999999</v>
      </c>
      <c r="AM191">
        <f>VLOOKUP(D191,[1]Sheet1!$C$1:$D$191,2,FALSE)</f>
        <v>23</v>
      </c>
    </row>
    <row r="192" spans="1:39" x14ac:dyDescent="0.35">
      <c r="A192">
        <v>2016</v>
      </c>
      <c r="B192" t="s">
        <v>26</v>
      </c>
      <c r="C192">
        <v>23</v>
      </c>
      <c r="D192" t="s">
        <v>231</v>
      </c>
      <c r="E192">
        <v>11669.207059030199</v>
      </c>
      <c r="G192">
        <v>11669.207059030199</v>
      </c>
      <c r="H192">
        <v>11768488383.6733</v>
      </c>
      <c r="I192">
        <v>11821065852.1271</v>
      </c>
      <c r="J192">
        <v>3.3396734262973016E-2</v>
      </c>
      <c r="K192">
        <v>1006.03926635984</v>
      </c>
      <c r="L192">
        <v>3.6116613990331494E-3</v>
      </c>
      <c r="M192">
        <v>1002.4188688256399</v>
      </c>
      <c r="N192">
        <v>-0.79331014578553405</v>
      </c>
      <c r="O192">
        <v>58.986928337827599</v>
      </c>
      <c r="P192">
        <v>17.482372279853301</v>
      </c>
      <c r="R192">
        <v>11697842</v>
      </c>
      <c r="S192">
        <v>2.9677886387268509E-2</v>
      </c>
      <c r="U192">
        <v>5.67</v>
      </c>
      <c r="V192">
        <v>4.8457482000000001</v>
      </c>
      <c r="W192">
        <v>1.6528229999999999</v>
      </c>
      <c r="X192">
        <v>71.369320000000002</v>
      </c>
      <c r="Y192">
        <v>14.5</v>
      </c>
      <c r="Z192">
        <v>11.952989578247101</v>
      </c>
      <c r="AJ192">
        <v>-0.62707704305648804</v>
      </c>
      <c r="AK192">
        <v>-0.58305639028549194</v>
      </c>
      <c r="AL192">
        <v>0.13503090000000001</v>
      </c>
      <c r="AM192">
        <f>VLOOKUP(D192,[1]Sheet1!$C$1:$D$191,2,FALSE)</f>
        <v>23</v>
      </c>
    </row>
    <row r="193" spans="1:39" x14ac:dyDescent="0.35">
      <c r="A193">
        <v>2017</v>
      </c>
      <c r="B193" t="s">
        <v>26</v>
      </c>
      <c r="C193">
        <v>23</v>
      </c>
      <c r="D193" t="s">
        <v>231</v>
      </c>
      <c r="E193">
        <v>4646</v>
      </c>
      <c r="F193">
        <v>50000</v>
      </c>
      <c r="G193">
        <v>54646</v>
      </c>
      <c r="H193">
        <v>12435945493.1089</v>
      </c>
      <c r="I193">
        <v>12701655845.961201</v>
      </c>
      <c r="J193">
        <v>5.671561951504147E-2</v>
      </c>
      <c r="K193">
        <v>1032.90471197222</v>
      </c>
      <c r="L193">
        <v>2.6704172004724459E-2</v>
      </c>
      <c r="M193">
        <v>1006.03926635984</v>
      </c>
      <c r="N193">
        <v>4.32648555103608E-2</v>
      </c>
      <c r="O193">
        <v>61.476596958847402</v>
      </c>
      <c r="P193">
        <v>16.5779195095066</v>
      </c>
      <c r="R193">
        <v>12039780</v>
      </c>
      <c r="S193">
        <v>2.9230861555490321E-2</v>
      </c>
      <c r="U193">
        <v>5.61</v>
      </c>
      <c r="V193">
        <v>4.8853603000000003</v>
      </c>
      <c r="W193">
        <v>3.250016</v>
      </c>
      <c r="X193">
        <v>69.369590000000002</v>
      </c>
      <c r="Y193">
        <v>18.7</v>
      </c>
      <c r="Z193">
        <v>11.337929725646999</v>
      </c>
      <c r="AJ193">
        <v>-0.64550292491912842</v>
      </c>
      <c r="AK193">
        <v>-0.52358680963516235</v>
      </c>
      <c r="AL193">
        <v>0.10167445</v>
      </c>
      <c r="AM193">
        <f>VLOOKUP(D193,[1]Sheet1!$C$1:$D$191,2,FALSE)</f>
        <v>23</v>
      </c>
    </row>
    <row r="194" spans="1:39" x14ac:dyDescent="0.35">
      <c r="A194">
        <v>2018</v>
      </c>
      <c r="B194" t="s">
        <v>26</v>
      </c>
      <c r="C194">
        <v>23</v>
      </c>
      <c r="D194" t="s">
        <v>231</v>
      </c>
      <c r="E194">
        <v>10151.223770000001</v>
      </c>
      <c r="F194">
        <v>50000</v>
      </c>
      <c r="G194">
        <v>60151.223769999997</v>
      </c>
      <c r="H194">
        <v>13268812303.052401</v>
      </c>
      <c r="I194">
        <v>14262408079.701401</v>
      </c>
      <c r="J194">
        <v>6.6972536218095763E-2</v>
      </c>
      <c r="K194">
        <v>1071.50452160085</v>
      </c>
      <c r="L194">
        <v>3.7370155427917343E-2</v>
      </c>
      <c r="M194">
        <v>1032.90471197222</v>
      </c>
      <c r="N194">
        <v>0.91917071788605398</v>
      </c>
      <c r="O194">
        <v>61.795194490344798</v>
      </c>
      <c r="P194">
        <v>16.746415437675399</v>
      </c>
      <c r="R194">
        <v>12383347</v>
      </c>
      <c r="S194">
        <v>2.8535986537959995E-2</v>
      </c>
      <c r="U194">
        <v>5.74</v>
      </c>
      <c r="V194">
        <v>4.7353183999999997</v>
      </c>
      <c r="W194">
        <v>2.7376839999999998</v>
      </c>
      <c r="X194">
        <v>75.013279999999995</v>
      </c>
      <c r="Y194">
        <v>19</v>
      </c>
      <c r="Z194">
        <v>11.5739097595215</v>
      </c>
      <c r="AJ194">
        <v>-0.69226175546646118</v>
      </c>
      <c r="AK194">
        <v>-0.39342612028121948</v>
      </c>
      <c r="AL194">
        <v>2.9088675000000001E-2</v>
      </c>
      <c r="AM194">
        <f>VLOOKUP(D194,[1]Sheet1!$C$1:$D$191,2,FALSE)</f>
        <v>23</v>
      </c>
    </row>
    <row r="195" spans="1:39" x14ac:dyDescent="0.35">
      <c r="A195">
        <v>2019</v>
      </c>
      <c r="B195" t="s">
        <v>26</v>
      </c>
      <c r="C195">
        <v>23</v>
      </c>
      <c r="D195" t="s">
        <v>231</v>
      </c>
      <c r="E195">
        <v>752.05934310999999</v>
      </c>
      <c r="G195">
        <v>752.05934310999999</v>
      </c>
      <c r="H195">
        <v>14179807375.101601</v>
      </c>
      <c r="I195">
        <v>14391686309.033001</v>
      </c>
      <c r="J195">
        <v>6.8656866284831822E-2</v>
      </c>
      <c r="K195">
        <v>1114.1730452972199</v>
      </c>
      <c r="L195">
        <v>3.9821132656185379E-2</v>
      </c>
      <c r="M195">
        <v>1071.50452160085</v>
      </c>
      <c r="N195">
        <v>0.73284937124097504</v>
      </c>
      <c r="O195">
        <v>63.681332314229998</v>
      </c>
      <c r="P195">
        <v>17.610702536519302</v>
      </c>
      <c r="R195">
        <v>12726755</v>
      </c>
      <c r="S195">
        <v>2.7731436420218216E-2</v>
      </c>
      <c r="T195">
        <v>63.465000000000003</v>
      </c>
      <c r="U195">
        <v>5.09</v>
      </c>
      <c r="V195">
        <v>4.9410489999999996</v>
      </c>
      <c r="W195">
        <v>3.1418240000000002</v>
      </c>
      <c r="X195">
        <v>73.510450000000006</v>
      </c>
      <c r="Y195">
        <v>20.5</v>
      </c>
      <c r="Z195">
        <v>10.3906803131103</v>
      </c>
      <c r="AJ195">
        <v>-0.67548412084579468</v>
      </c>
      <c r="AK195">
        <v>-0.44633042812347412</v>
      </c>
      <c r="AL195">
        <v>7.3594075000000009E-2</v>
      </c>
      <c r="AM195">
        <f>VLOOKUP(D195,[1]Sheet1!$C$1:$D$191,2,FALSE)</f>
        <v>23</v>
      </c>
    </row>
    <row r="196" spans="1:39" x14ac:dyDescent="0.35">
      <c r="A196">
        <v>2020</v>
      </c>
      <c r="B196" t="s">
        <v>26</v>
      </c>
      <c r="C196">
        <v>23</v>
      </c>
      <c r="D196" t="s">
        <v>231</v>
      </c>
      <c r="E196">
        <v>7547.0634793550998</v>
      </c>
      <c r="G196">
        <v>7547.0634793550998</v>
      </c>
      <c r="H196">
        <v>14725558723.731899</v>
      </c>
      <c r="I196">
        <v>15651545208.8783</v>
      </c>
      <c r="J196">
        <v>3.8487924003014762E-2</v>
      </c>
      <c r="K196">
        <v>1126.6540412546999</v>
      </c>
      <c r="L196">
        <v>1.1202026480680589E-2</v>
      </c>
      <c r="M196">
        <v>1114.1730452972199</v>
      </c>
      <c r="N196">
        <v>3.0227211966376899</v>
      </c>
      <c r="O196">
        <v>44.833233376872599</v>
      </c>
      <c r="P196">
        <v>15.5371207615124</v>
      </c>
      <c r="R196">
        <v>13070169</v>
      </c>
      <c r="S196">
        <v>2.698362622679544E-2</v>
      </c>
      <c r="U196">
        <v>4.58</v>
      </c>
      <c r="V196">
        <v>4.4755927</v>
      </c>
      <c r="W196">
        <v>0</v>
      </c>
      <c r="X196">
        <v>0</v>
      </c>
      <c r="Y196">
        <v>22.1206</v>
      </c>
      <c r="Z196">
        <v>10.380800247192401</v>
      </c>
      <c r="AJ196">
        <v>-0.7669185996055603</v>
      </c>
      <c r="AK196">
        <v>-0.48343175649642939</v>
      </c>
      <c r="AL196">
        <v>0.11996055</v>
      </c>
      <c r="AM196">
        <f>VLOOKUP(D196,[1]Sheet1!$C$1:$D$191,2,FALSE)</f>
        <v>23</v>
      </c>
    </row>
    <row r="197" spans="1:39" x14ac:dyDescent="0.35">
      <c r="A197">
        <v>2013</v>
      </c>
      <c r="B197" t="s">
        <v>27</v>
      </c>
      <c r="C197">
        <v>24</v>
      </c>
      <c r="D197" t="s">
        <v>232</v>
      </c>
      <c r="E197">
        <v>41184</v>
      </c>
      <c r="G197">
        <v>41184</v>
      </c>
      <c r="H197">
        <v>29842021069.1031</v>
      </c>
      <c r="I197">
        <v>30659338885.672901</v>
      </c>
      <c r="J197">
        <v>6.7960114281083867E-2</v>
      </c>
      <c r="K197">
        <v>2793.51456770698</v>
      </c>
      <c r="L197">
        <v>5.1284709265548657E-2</v>
      </c>
      <c r="M197">
        <v>2657.2388460387601</v>
      </c>
      <c r="N197">
        <v>5.7364002371960696</v>
      </c>
      <c r="O197">
        <v>81.230907526717402</v>
      </c>
      <c r="P197">
        <v>40.931095034334497</v>
      </c>
      <c r="R197">
        <v>10682608</v>
      </c>
      <c r="S197">
        <v>1.586193052040609E-2</v>
      </c>
      <c r="T197">
        <v>61.999000000000002</v>
      </c>
      <c r="U197">
        <v>5.79</v>
      </c>
      <c r="V197">
        <v>31.100878999999999</v>
      </c>
      <c r="W197">
        <v>5.6982980000000003</v>
      </c>
      <c r="X197">
        <v>50.270479999999999</v>
      </c>
      <c r="Y197">
        <v>36.99</v>
      </c>
      <c r="AJ197">
        <v>-1.0509506464004521</v>
      </c>
      <c r="AK197">
        <v>-0.78638947010040283</v>
      </c>
      <c r="AL197">
        <v>0.100637475</v>
      </c>
      <c r="AM197">
        <f>VLOOKUP(D197,[1]Sheet1!$C$1:$D$191,2,FALSE)</f>
        <v>24</v>
      </c>
    </row>
    <row r="198" spans="1:39" x14ac:dyDescent="0.35">
      <c r="A198">
        <v>2014</v>
      </c>
      <c r="B198" t="s">
        <v>27</v>
      </c>
      <c r="C198">
        <v>24</v>
      </c>
      <c r="D198" t="s">
        <v>232</v>
      </c>
      <c r="E198">
        <v>16640</v>
      </c>
      <c r="G198">
        <v>16640</v>
      </c>
      <c r="H198">
        <v>31471565392.053101</v>
      </c>
      <c r="I198">
        <v>32996188012.559898</v>
      </c>
      <c r="J198">
        <v>5.4605695746162031E-2</v>
      </c>
      <c r="K198">
        <v>2900.9024143352799</v>
      </c>
      <c r="L198">
        <v>3.8441842355040182E-2</v>
      </c>
      <c r="M198">
        <v>2793.51456770698</v>
      </c>
      <c r="N198">
        <v>5.7666007457914397</v>
      </c>
      <c r="O198">
        <v>85.264469596440307</v>
      </c>
      <c r="P198">
        <v>43.749719306373201</v>
      </c>
      <c r="R198">
        <v>10848888</v>
      </c>
      <c r="S198">
        <v>1.5565487379111917E-2</v>
      </c>
      <c r="T198">
        <v>65.998999999999995</v>
      </c>
      <c r="U198">
        <v>5.79</v>
      </c>
      <c r="V198">
        <v>34.299210000000002</v>
      </c>
      <c r="W198">
        <v>5.9244139999999996</v>
      </c>
      <c r="X198">
        <v>52.506160000000001</v>
      </c>
      <c r="Y198">
        <v>34.601599999999998</v>
      </c>
      <c r="AJ198">
        <v>-1.058335065841675</v>
      </c>
      <c r="AK198">
        <v>-0.88667392730712891</v>
      </c>
      <c r="AL198">
        <v>7.3550775000000013E-2</v>
      </c>
      <c r="AM198">
        <f>VLOOKUP(D198,[1]Sheet1!$C$1:$D$191,2,FALSE)</f>
        <v>24</v>
      </c>
    </row>
    <row r="199" spans="1:39" x14ac:dyDescent="0.35">
      <c r="A199">
        <v>2015</v>
      </c>
      <c r="B199" t="s">
        <v>27</v>
      </c>
      <c r="C199">
        <v>24</v>
      </c>
      <c r="D199" t="s">
        <v>232</v>
      </c>
      <c r="E199">
        <v>31090</v>
      </c>
      <c r="G199">
        <v>31090</v>
      </c>
      <c r="H199">
        <v>33000198248.1292</v>
      </c>
      <c r="I199">
        <v>33000198248.1292</v>
      </c>
      <c r="J199">
        <v>4.857187232453633E-2</v>
      </c>
      <c r="K199">
        <v>2996.01289804214</v>
      </c>
      <c r="L199">
        <v>3.2786516098182499E-2</v>
      </c>
      <c r="M199">
        <v>2900.9024143352799</v>
      </c>
      <c r="N199">
        <v>4.0596104113564504</v>
      </c>
      <c r="O199">
        <v>67.932845187352498</v>
      </c>
      <c r="P199">
        <v>51.4488724603817</v>
      </c>
      <c r="R199">
        <v>11014705</v>
      </c>
      <c r="S199">
        <v>1.5284239269499325E-2</v>
      </c>
      <c r="T199">
        <v>60.832999999999998</v>
      </c>
      <c r="U199">
        <v>5.75</v>
      </c>
      <c r="V199">
        <v>37.768462</v>
      </c>
      <c r="W199">
        <v>6.3142899999999997</v>
      </c>
      <c r="X199">
        <v>47.409280000000003</v>
      </c>
      <c r="Y199">
        <v>37.486800000000002</v>
      </c>
      <c r="AJ199">
        <v>-1.162117004394531</v>
      </c>
      <c r="AK199">
        <v>-0.91942542791366577</v>
      </c>
      <c r="AL199">
        <v>7.0212574999999999E-2</v>
      </c>
      <c r="AM199">
        <f>VLOOKUP(D199,[1]Sheet1!$C$1:$D$191,2,FALSE)</f>
        <v>24</v>
      </c>
    </row>
    <row r="200" spans="1:39" x14ac:dyDescent="0.35">
      <c r="A200">
        <v>2016</v>
      </c>
      <c r="B200" t="s">
        <v>27</v>
      </c>
      <c r="C200">
        <v>24</v>
      </c>
      <c r="D200" t="s">
        <v>232</v>
      </c>
      <c r="F200">
        <v>5057675</v>
      </c>
      <c r="G200">
        <v>5057675</v>
      </c>
      <c r="H200">
        <v>34407300577.662201</v>
      </c>
      <c r="I200">
        <v>33941126200.0606</v>
      </c>
      <c r="J200">
        <v>4.2639208375445756E-2</v>
      </c>
      <c r="K200">
        <v>3077.57057479881</v>
      </c>
      <c r="L200">
        <v>2.7222071310162563E-2</v>
      </c>
      <c r="M200">
        <v>2996.01289804214</v>
      </c>
      <c r="N200">
        <v>3.6232143176413798</v>
      </c>
      <c r="O200">
        <v>56.401034506490802</v>
      </c>
      <c r="P200">
        <v>57.408645757259102</v>
      </c>
      <c r="R200">
        <v>11180020</v>
      </c>
      <c r="S200">
        <v>1.5008572630860291E-2</v>
      </c>
      <c r="T200">
        <v>61.091000000000001</v>
      </c>
      <c r="U200">
        <v>5.63</v>
      </c>
      <c r="V200">
        <v>39.701658000000002</v>
      </c>
      <c r="W200">
        <v>5.8571879999999998</v>
      </c>
      <c r="X200">
        <v>43.466659999999997</v>
      </c>
      <c r="Y200">
        <v>39.697499999999998</v>
      </c>
      <c r="AJ200">
        <v>-1.238739490509033</v>
      </c>
      <c r="AK200">
        <v>-1.019731879234314</v>
      </c>
      <c r="AL200">
        <v>3.7811474999999997E-2</v>
      </c>
      <c r="AM200">
        <f>VLOOKUP(D200,[1]Sheet1!$C$1:$D$191,2,FALSE)</f>
        <v>24</v>
      </c>
    </row>
    <row r="201" spans="1:39" x14ac:dyDescent="0.35">
      <c r="A201">
        <v>2017</v>
      </c>
      <c r="B201" t="s">
        <v>27</v>
      </c>
      <c r="C201">
        <v>24</v>
      </c>
      <c r="D201" t="s">
        <v>232</v>
      </c>
      <c r="E201">
        <v>50052</v>
      </c>
      <c r="F201">
        <v>3989925</v>
      </c>
      <c r="G201">
        <v>4039977</v>
      </c>
      <c r="H201">
        <v>35850757819.523598</v>
      </c>
      <c r="I201">
        <v>37508642165.336601</v>
      </c>
      <c r="J201">
        <v>4.1952063010677262E-2</v>
      </c>
      <c r="K201">
        <v>3160.16421043125</v>
      </c>
      <c r="L201">
        <v>2.6837284028113459E-2</v>
      </c>
      <c r="M201">
        <v>3077.57057479881</v>
      </c>
      <c r="N201">
        <v>2.8227580554717</v>
      </c>
      <c r="O201">
        <v>56.704652733913299</v>
      </c>
      <c r="P201">
        <v>58.6184410028591</v>
      </c>
      <c r="R201">
        <v>11344587</v>
      </c>
      <c r="S201">
        <v>1.4719741109586565E-2</v>
      </c>
      <c r="T201">
        <v>62.655000000000001</v>
      </c>
      <c r="U201">
        <v>5.49</v>
      </c>
      <c r="V201">
        <v>39.656906999999997</v>
      </c>
      <c r="W201">
        <v>5.6839849999999998</v>
      </c>
      <c r="X201">
        <v>44.647530000000003</v>
      </c>
      <c r="Y201">
        <v>43.832299999999996</v>
      </c>
      <c r="AJ201">
        <v>-1.2451081275939939</v>
      </c>
      <c r="AK201">
        <v>-0.99576938152313232</v>
      </c>
      <c r="AL201">
        <v>5.8481650000000003E-2</v>
      </c>
      <c r="AM201">
        <f>VLOOKUP(D201,[1]Sheet1!$C$1:$D$191,2,FALSE)</f>
        <v>24</v>
      </c>
    </row>
    <row r="202" spans="1:39" x14ac:dyDescent="0.35">
      <c r="A202">
        <v>2018</v>
      </c>
      <c r="B202" t="s">
        <v>27</v>
      </c>
      <c r="C202">
        <v>24</v>
      </c>
      <c r="D202" t="s">
        <v>232</v>
      </c>
      <c r="E202">
        <v>27565.6993</v>
      </c>
      <c r="F202">
        <v>3340850</v>
      </c>
      <c r="G202">
        <v>3368415.6993</v>
      </c>
      <c r="H202">
        <v>37364958855.728302</v>
      </c>
      <c r="I202">
        <v>40287647930.476097</v>
      </c>
      <c r="J202">
        <v>4.2236235111886559E-2</v>
      </c>
      <c r="K202">
        <v>3246.7643418882999</v>
      </c>
      <c r="L202">
        <v>2.7403680850253045E-2</v>
      </c>
      <c r="M202">
        <v>3160.16421043125</v>
      </c>
      <c r="N202">
        <v>2.2720598723015502</v>
      </c>
      <c r="O202">
        <v>57.109964633327102</v>
      </c>
      <c r="P202">
        <v>62.628413969800903</v>
      </c>
      <c r="R202">
        <v>11508368</v>
      </c>
      <c r="S202">
        <v>1.4436929259742994E-2</v>
      </c>
      <c r="T202">
        <v>67.707999999999998</v>
      </c>
      <c r="U202">
        <v>5.7</v>
      </c>
      <c r="V202">
        <v>40.381751000000001</v>
      </c>
      <c r="W202">
        <v>5.2447619999999997</v>
      </c>
      <c r="X202">
        <v>44.974800000000002</v>
      </c>
      <c r="Y202">
        <v>44.286099999999998</v>
      </c>
      <c r="AJ202">
        <v>-1.2119008302688601</v>
      </c>
      <c r="AK202">
        <v>-1.00710666179657</v>
      </c>
      <c r="AL202">
        <v>0.13333365</v>
      </c>
      <c r="AM202">
        <f>VLOOKUP(D202,[1]Sheet1!$C$1:$D$191,2,FALSE)</f>
        <v>24</v>
      </c>
    </row>
    <row r="203" spans="1:39" x14ac:dyDescent="0.35">
      <c r="A203">
        <v>2019</v>
      </c>
      <c r="B203" t="s">
        <v>27</v>
      </c>
      <c r="C203">
        <v>24</v>
      </c>
      <c r="D203" t="s">
        <v>232</v>
      </c>
      <c r="E203">
        <v>63084.424450589999</v>
      </c>
      <c r="F203">
        <v>2269975</v>
      </c>
      <c r="G203">
        <v>2333059.4244505898</v>
      </c>
      <c r="H203">
        <v>38193230057.445099</v>
      </c>
      <c r="I203">
        <v>40895322843.785103</v>
      </c>
      <c r="J203">
        <v>2.2167057775036657E-2</v>
      </c>
      <c r="K203">
        <v>3272.3817083459599</v>
      </c>
      <c r="L203">
        <v>7.8901219060330818E-3</v>
      </c>
      <c r="M203">
        <v>3246.7643418882999</v>
      </c>
      <c r="N203">
        <v>1.8395450496902599</v>
      </c>
      <c r="O203">
        <v>56.397306732966697</v>
      </c>
      <c r="P203">
        <v>65.839704313854099</v>
      </c>
      <c r="R203">
        <v>11671386</v>
      </c>
      <c r="S203">
        <v>1.4165170943438722E-2</v>
      </c>
      <c r="T203">
        <v>69.83</v>
      </c>
      <c r="U203">
        <v>4.84</v>
      </c>
      <c r="V203">
        <v>42.042352000000001</v>
      </c>
      <c r="W203">
        <v>5.1371359999999999</v>
      </c>
      <c r="X203">
        <v>43.689909999999998</v>
      </c>
      <c r="Y203">
        <v>47.474800000000002</v>
      </c>
      <c r="AJ203">
        <v>-1.189419269561768</v>
      </c>
      <c r="AK203">
        <v>-1.0019563436508181</v>
      </c>
      <c r="AL203">
        <v>0.23470579999999999</v>
      </c>
      <c r="AM203">
        <f>VLOOKUP(D203,[1]Sheet1!$C$1:$D$191,2,FALSE)</f>
        <v>24</v>
      </c>
    </row>
    <row r="204" spans="1:39" x14ac:dyDescent="0.35">
      <c r="A204">
        <v>2020</v>
      </c>
      <c r="B204" t="s">
        <v>27</v>
      </c>
      <c r="C204">
        <v>24</v>
      </c>
      <c r="D204" t="s">
        <v>232</v>
      </c>
      <c r="E204">
        <v>21338.31</v>
      </c>
      <c r="F204">
        <v>3381775</v>
      </c>
      <c r="G204">
        <v>3403113.31</v>
      </c>
      <c r="H204">
        <v>34855949753.417099</v>
      </c>
      <c r="I204">
        <v>36629843805.021599</v>
      </c>
      <c r="J204">
        <v>-8.737884433991347E-2</v>
      </c>
      <c r="K204">
        <v>2949.8195461554501</v>
      </c>
      <c r="L204">
        <v>-9.8571068701380271E-2</v>
      </c>
      <c r="M204">
        <v>3272.3817083459599</v>
      </c>
      <c r="N204">
        <v>0.94074215338184897</v>
      </c>
      <c r="O204">
        <v>45.503262593506598</v>
      </c>
      <c r="P204">
        <v>80.167952334690696</v>
      </c>
      <c r="R204">
        <v>11816299</v>
      </c>
      <c r="S204">
        <v>1.2416091799208766E-2</v>
      </c>
      <c r="T204">
        <v>63.606000000000002</v>
      </c>
      <c r="U204">
        <v>5.08</v>
      </c>
      <c r="V204">
        <v>42.30782</v>
      </c>
      <c r="W204">
        <v>4.4039429999999999</v>
      </c>
      <c r="X204">
        <v>43.935200000000002</v>
      </c>
      <c r="Y204">
        <v>59.940100000000001</v>
      </c>
      <c r="AJ204">
        <v>-1.2186311483383181</v>
      </c>
      <c r="AK204">
        <v>-1.035290122032166</v>
      </c>
      <c r="AL204">
        <v>0.28573567500000002</v>
      </c>
      <c r="AM204">
        <f>VLOOKUP(D204,[1]Sheet1!$C$1:$D$191,2,FALSE)</f>
        <v>24</v>
      </c>
    </row>
    <row r="205" spans="1:39" x14ac:dyDescent="0.35">
      <c r="A205">
        <v>2013</v>
      </c>
      <c r="B205" t="s">
        <v>28</v>
      </c>
      <c r="C205">
        <v>25</v>
      </c>
      <c r="D205" t="s">
        <v>233</v>
      </c>
      <c r="E205">
        <v>22213.349775101</v>
      </c>
      <c r="F205">
        <v>8000</v>
      </c>
      <c r="G205">
        <v>30213.349775101</v>
      </c>
      <c r="H205">
        <v>13454439438.0193</v>
      </c>
      <c r="I205">
        <v>14271738933.204201</v>
      </c>
      <c r="J205">
        <v>0.11102823777977162</v>
      </c>
      <c r="K205">
        <v>6285.1182184085501</v>
      </c>
      <c r="L205">
        <v>9.438628888478702E-2</v>
      </c>
      <c r="M205">
        <v>5743.05277966638</v>
      </c>
      <c r="N205">
        <v>5.8846070705681699</v>
      </c>
      <c r="O205">
        <v>125.78303991122</v>
      </c>
      <c r="P205">
        <v>33.1944622770528</v>
      </c>
      <c r="Q205">
        <v>29.485974809270001</v>
      </c>
      <c r="R205">
        <v>2140682</v>
      </c>
      <c r="S205">
        <v>1.520664966658241E-2</v>
      </c>
      <c r="U205">
        <v>7.98</v>
      </c>
      <c r="V205">
        <v>29.049175999999999</v>
      </c>
      <c r="W205">
        <v>6.9387559999999997</v>
      </c>
      <c r="X205">
        <v>65.869590000000002</v>
      </c>
      <c r="Y205">
        <v>30</v>
      </c>
      <c r="Z205">
        <v>26.337099075317401</v>
      </c>
      <c r="AJ205">
        <v>0.49438241124153143</v>
      </c>
      <c r="AK205">
        <v>0.63551855087280273</v>
      </c>
      <c r="AL205">
        <v>0.12663869999999999</v>
      </c>
      <c r="AM205">
        <f>VLOOKUP(D205,[1]Sheet1!$C$1:$D$191,2,FALSE)</f>
        <v>25</v>
      </c>
    </row>
    <row r="206" spans="1:39" x14ac:dyDescent="0.35">
      <c r="A206">
        <v>2014</v>
      </c>
      <c r="B206" t="s">
        <v>28</v>
      </c>
      <c r="C206">
        <v>25</v>
      </c>
      <c r="D206" t="s">
        <v>233</v>
      </c>
      <c r="E206">
        <v>18408.826384333301</v>
      </c>
      <c r="G206">
        <v>18408.826384333301</v>
      </c>
      <c r="H206">
        <v>14220639811.9916</v>
      </c>
      <c r="I206">
        <v>15470088500.7414</v>
      </c>
      <c r="J206">
        <v>5.6947773818594408E-2</v>
      </c>
      <c r="K206">
        <v>6547.1232682172003</v>
      </c>
      <c r="L206">
        <v>4.1686574652050438E-2</v>
      </c>
      <c r="M206">
        <v>6285.1182184085501</v>
      </c>
      <c r="N206">
        <v>4.40225309243427</v>
      </c>
      <c r="O206">
        <v>119.497541791464</v>
      </c>
      <c r="P206">
        <v>32.583692821400298</v>
      </c>
      <c r="Q206">
        <v>29.132404873166902</v>
      </c>
      <c r="R206">
        <v>2172044</v>
      </c>
      <c r="S206">
        <v>1.4650471204971127E-2</v>
      </c>
      <c r="U206">
        <v>7.87</v>
      </c>
      <c r="V206">
        <v>30.315159999999999</v>
      </c>
      <c r="W206">
        <v>6.1161539999999999</v>
      </c>
      <c r="X206">
        <v>64.68956</v>
      </c>
      <c r="Y206">
        <v>36.744700000000002</v>
      </c>
      <c r="Z206">
        <v>24.835564846016599</v>
      </c>
      <c r="AJ206">
        <v>0.53928261995315552</v>
      </c>
      <c r="AK206">
        <v>0.76480799913406372</v>
      </c>
      <c r="AL206">
        <v>0.122641375</v>
      </c>
      <c r="AM206">
        <f>VLOOKUP(D206,[1]Sheet1!$C$1:$D$191,2,FALSE)</f>
        <v>25</v>
      </c>
    </row>
    <row r="207" spans="1:39" x14ac:dyDescent="0.35">
      <c r="A207">
        <v>2015</v>
      </c>
      <c r="B207" t="s">
        <v>28</v>
      </c>
      <c r="C207">
        <v>25</v>
      </c>
      <c r="D207" t="s">
        <v>233</v>
      </c>
      <c r="E207">
        <v>2515</v>
      </c>
      <c r="G207">
        <v>2515</v>
      </c>
      <c r="H207">
        <v>13530748844.504999</v>
      </c>
      <c r="I207">
        <v>13530748844.504999</v>
      </c>
      <c r="J207">
        <v>-4.8513356403616106E-2</v>
      </c>
      <c r="K207">
        <v>6141.20394726616</v>
      </c>
      <c r="L207">
        <v>-6.1999645389535077E-2</v>
      </c>
      <c r="M207">
        <v>6547.1232682172003</v>
      </c>
      <c r="N207">
        <v>3.06203169580558</v>
      </c>
      <c r="O207">
        <v>112.900891016005</v>
      </c>
      <c r="P207">
        <v>35.9943679768934</v>
      </c>
      <c r="Q207">
        <v>31.243094178471299</v>
      </c>
      <c r="R207">
        <v>2203273</v>
      </c>
      <c r="S207">
        <v>1.4377701372532048E-2</v>
      </c>
      <c r="U207">
        <v>7.87</v>
      </c>
      <c r="V207">
        <v>33.979745000000001</v>
      </c>
      <c r="W207">
        <v>4.6744070000000004</v>
      </c>
      <c r="X207">
        <v>64.720050000000001</v>
      </c>
      <c r="Y207">
        <v>37.312100000000001</v>
      </c>
      <c r="Z207">
        <v>26.869292553875599</v>
      </c>
      <c r="AJ207">
        <v>0.48319923877716059</v>
      </c>
      <c r="AK207">
        <v>0.55207717418670654</v>
      </c>
      <c r="AL207">
        <v>0.168133275</v>
      </c>
      <c r="AM207">
        <f>VLOOKUP(D207,[1]Sheet1!$C$1:$D$191,2,FALSE)</f>
        <v>25</v>
      </c>
    </row>
    <row r="208" spans="1:39" x14ac:dyDescent="0.35">
      <c r="A208">
        <v>2016</v>
      </c>
      <c r="B208" t="s">
        <v>28</v>
      </c>
      <c r="C208">
        <v>25</v>
      </c>
      <c r="D208" t="s">
        <v>233</v>
      </c>
      <c r="E208">
        <v>3870.2434067600202</v>
      </c>
      <c r="G208">
        <v>3870.2434067600202</v>
      </c>
      <c r="H208">
        <v>14505561464.3559</v>
      </c>
      <c r="I208">
        <v>15082637184.049601</v>
      </c>
      <c r="J208">
        <v>7.2044247591424609E-2</v>
      </c>
      <c r="K208">
        <v>6490.8346359348297</v>
      </c>
      <c r="L208">
        <v>5.6931945538840574E-2</v>
      </c>
      <c r="M208">
        <v>6141.20394726616</v>
      </c>
      <c r="N208">
        <v>2.8149579136194398</v>
      </c>
      <c r="O208">
        <v>100.464689766026</v>
      </c>
      <c r="P208">
        <v>32.690644779712798</v>
      </c>
      <c r="Q208">
        <v>26.781139225508301</v>
      </c>
      <c r="R208">
        <v>2234776</v>
      </c>
      <c r="S208">
        <v>1.4298273523072266E-2</v>
      </c>
      <c r="U208">
        <v>7.87</v>
      </c>
      <c r="V208">
        <v>33.755991999999999</v>
      </c>
      <c r="W208">
        <v>5.3447800000000001</v>
      </c>
      <c r="X208">
        <v>63.99812</v>
      </c>
      <c r="Y208">
        <v>42.257599999999996</v>
      </c>
      <c r="Z208">
        <v>22.660585529177599</v>
      </c>
      <c r="AJ208">
        <v>0.37993207573890692</v>
      </c>
      <c r="AK208">
        <v>0.7277979850769043</v>
      </c>
      <c r="AL208">
        <v>0.15287745</v>
      </c>
      <c r="AM208">
        <f>VLOOKUP(D208,[1]Sheet1!$C$1:$D$191,2,FALSE)</f>
        <v>25</v>
      </c>
    </row>
    <row r="209" spans="1:39" x14ac:dyDescent="0.35">
      <c r="A209">
        <v>2017</v>
      </c>
      <c r="B209" t="s">
        <v>28</v>
      </c>
      <c r="C209">
        <v>25</v>
      </c>
      <c r="D209" t="s">
        <v>233</v>
      </c>
      <c r="E209">
        <v>9791</v>
      </c>
      <c r="F209">
        <v>2381198.1787060602</v>
      </c>
      <c r="G209">
        <v>2390989.1787060602</v>
      </c>
      <c r="H209">
        <v>15102373014.4202</v>
      </c>
      <c r="I209">
        <v>16105155856.7708</v>
      </c>
      <c r="J209">
        <v>4.114363663418534E-2</v>
      </c>
      <c r="K209">
        <v>6662.5754944950604</v>
      </c>
      <c r="L209">
        <v>2.6458979190354313E-2</v>
      </c>
      <c r="M209">
        <v>6490.8346359348297</v>
      </c>
      <c r="N209">
        <v>3.3082807676821901</v>
      </c>
      <c r="O209">
        <v>81.923951376349393</v>
      </c>
      <c r="P209">
        <v>33.952221305875298</v>
      </c>
      <c r="Q209">
        <v>28.154984240063001</v>
      </c>
      <c r="R209">
        <v>2266747</v>
      </c>
      <c r="S209">
        <v>1.4306131800234118E-2</v>
      </c>
      <c r="U209">
        <v>7.81</v>
      </c>
      <c r="V209">
        <v>35.416030999999997</v>
      </c>
      <c r="W209">
        <v>5.6500380000000003</v>
      </c>
      <c r="X209">
        <v>64.372219999999999</v>
      </c>
      <c r="Y209">
        <v>47.858699999999999</v>
      </c>
      <c r="Z209">
        <v>21.476288516501199</v>
      </c>
      <c r="AJ209">
        <v>0.36061957478523249</v>
      </c>
      <c r="AK209">
        <v>0.59502983093261719</v>
      </c>
      <c r="AL209">
        <v>8.5232200000000008E-2</v>
      </c>
      <c r="AM209">
        <f>VLOOKUP(D209,[1]Sheet1!$C$1:$D$191,2,FALSE)</f>
        <v>25</v>
      </c>
    </row>
    <row r="210" spans="1:39" x14ac:dyDescent="0.35">
      <c r="A210">
        <v>2018</v>
      </c>
      <c r="B210" t="s">
        <v>28</v>
      </c>
      <c r="C210">
        <v>25</v>
      </c>
      <c r="D210" t="s">
        <v>233</v>
      </c>
      <c r="E210">
        <v>390.54801400000002</v>
      </c>
      <c r="F210">
        <v>15423998.84785</v>
      </c>
      <c r="G210">
        <v>15424389.395864001</v>
      </c>
      <c r="H210">
        <v>15734874525.0984</v>
      </c>
      <c r="I210">
        <v>17031943186.1353</v>
      </c>
      <c r="J210">
        <v>4.1880935537366763E-2</v>
      </c>
      <c r="K210">
        <v>6843.8058062112896</v>
      </c>
      <c r="L210">
        <v>2.7201239500546048E-2</v>
      </c>
      <c r="M210">
        <v>6662.5754944950604</v>
      </c>
      <c r="N210">
        <v>3.2380155894771501</v>
      </c>
      <c r="O210">
        <v>87.455103994649306</v>
      </c>
      <c r="P210">
        <v>34.739663317142302</v>
      </c>
      <c r="Q210">
        <v>29.064415646770101</v>
      </c>
      <c r="R210">
        <v>2299141</v>
      </c>
      <c r="S210">
        <v>1.4290964099654703E-2</v>
      </c>
      <c r="U210">
        <v>7.81</v>
      </c>
      <c r="V210">
        <v>44.507648000000003</v>
      </c>
      <c r="W210">
        <v>4.791569</v>
      </c>
      <c r="X210">
        <v>63.574330000000003</v>
      </c>
      <c r="Y210">
        <v>54.202199999999998</v>
      </c>
      <c r="AJ210">
        <v>0.38380485773086548</v>
      </c>
      <c r="AK210">
        <v>0.62392961978912354</v>
      </c>
      <c r="AL210">
        <v>1.8812124999999999E-2</v>
      </c>
      <c r="AM210">
        <f>VLOOKUP(D210,[1]Sheet1!$C$1:$D$191,2,FALSE)</f>
        <v>25</v>
      </c>
    </row>
    <row r="211" spans="1:39" x14ac:dyDescent="0.35">
      <c r="A211">
        <v>2019</v>
      </c>
      <c r="B211" t="s">
        <v>28</v>
      </c>
      <c r="C211">
        <v>25</v>
      </c>
      <c r="D211" t="s">
        <v>233</v>
      </c>
      <c r="E211">
        <v>2146.2072398099999</v>
      </c>
      <c r="F211">
        <v>39320602.100062393</v>
      </c>
      <c r="G211">
        <v>39322748.307302199</v>
      </c>
      <c r="H211">
        <v>16211987795.535999</v>
      </c>
      <c r="I211">
        <v>16725908148.5481</v>
      </c>
      <c r="J211">
        <v>3.0322025744569162E-2</v>
      </c>
      <c r="K211">
        <v>6951.7198982780601</v>
      </c>
      <c r="L211">
        <v>1.5768140581784194E-2</v>
      </c>
      <c r="M211">
        <v>6843.8058062112896</v>
      </c>
      <c r="N211">
        <v>2.77286442863321</v>
      </c>
      <c r="O211">
        <v>83.092981360117506</v>
      </c>
      <c r="P211">
        <v>35.9371549010473</v>
      </c>
      <c r="Q211">
        <v>28.800544988700999</v>
      </c>
      <c r="R211">
        <v>2332083</v>
      </c>
      <c r="S211">
        <v>1.4327959877188915E-2</v>
      </c>
      <c r="T211">
        <v>59.692999999999998</v>
      </c>
      <c r="U211">
        <v>7.81</v>
      </c>
      <c r="V211">
        <v>45.023848999999998</v>
      </c>
      <c r="W211">
        <v>4.9106139999999998</v>
      </c>
      <c r="X211">
        <v>62.665869999999998</v>
      </c>
      <c r="Y211">
        <v>61.386499999999998</v>
      </c>
      <c r="Z211">
        <v>21.4965480211896</v>
      </c>
      <c r="AJ211">
        <v>0.43296927213668818</v>
      </c>
      <c r="AK211">
        <v>0.49803221225738531</v>
      </c>
      <c r="AL211">
        <v>9.2322275000000009E-2</v>
      </c>
      <c r="AM211">
        <f>VLOOKUP(D211,[1]Sheet1!$C$1:$D$191,2,FALSE)</f>
        <v>25</v>
      </c>
    </row>
    <row r="212" spans="1:39" x14ac:dyDescent="0.35">
      <c r="A212">
        <v>2020</v>
      </c>
      <c r="B212" t="s">
        <v>28</v>
      </c>
      <c r="C212">
        <v>25</v>
      </c>
      <c r="D212" t="s">
        <v>233</v>
      </c>
      <c r="E212">
        <v>43190.498408059997</v>
      </c>
      <c r="F212">
        <v>21771517.64189646</v>
      </c>
      <c r="G212">
        <v>21814708.140304521</v>
      </c>
      <c r="H212">
        <v>14796883501.254999</v>
      </c>
      <c r="I212">
        <v>14960291105.931601</v>
      </c>
      <c r="J212">
        <v>-8.7287525263906984E-2</v>
      </c>
      <c r="K212">
        <v>6254.2461755492996</v>
      </c>
      <c r="L212">
        <v>-0.10033110265295998</v>
      </c>
      <c r="M212">
        <v>6951.7198982780601</v>
      </c>
      <c r="N212">
        <v>1.8903591682420999</v>
      </c>
      <c r="O212">
        <v>77.663212812471599</v>
      </c>
      <c r="P212">
        <v>39.728427065710299</v>
      </c>
      <c r="Q212">
        <v>33.858711116670598</v>
      </c>
      <c r="R212">
        <v>2365894</v>
      </c>
      <c r="S212">
        <v>1.4498197534135792E-2</v>
      </c>
      <c r="T212">
        <v>63.326999999999998</v>
      </c>
      <c r="U212">
        <v>7.62</v>
      </c>
      <c r="V212">
        <v>46.995871999999999</v>
      </c>
      <c r="W212">
        <v>4.7399469999999999</v>
      </c>
      <c r="X212">
        <v>65.833399999999997</v>
      </c>
      <c r="Y212">
        <v>69.522999999999996</v>
      </c>
      <c r="Z212">
        <v>22.4017870513653</v>
      </c>
      <c r="AJ212">
        <v>0.38222190737724299</v>
      </c>
      <c r="AK212">
        <v>0.52758628129959106</v>
      </c>
      <c r="AL212">
        <v>0.121187025</v>
      </c>
      <c r="AM212">
        <f>VLOOKUP(D212,[1]Sheet1!$C$1:$D$191,2,FALSE)</f>
        <v>25</v>
      </c>
    </row>
    <row r="213" spans="1:39" x14ac:dyDescent="0.35">
      <c r="A213">
        <v>2013</v>
      </c>
      <c r="B213" t="s">
        <v>29</v>
      </c>
      <c r="C213">
        <v>26</v>
      </c>
      <c r="D213" t="s">
        <v>234</v>
      </c>
      <c r="E213">
        <v>3585921</v>
      </c>
      <c r="F213">
        <v>800000</v>
      </c>
      <c r="G213">
        <v>4385921</v>
      </c>
      <c r="H213">
        <v>1859094488365.1399</v>
      </c>
      <c r="I213">
        <v>2472819535742.73</v>
      </c>
      <c r="J213">
        <v>3.0048226694438244E-2</v>
      </c>
      <c r="K213">
        <v>9366.7393248122498</v>
      </c>
      <c r="L213">
        <v>2.1733308053231416E-2</v>
      </c>
      <c r="M213">
        <v>9167.4992397568494</v>
      </c>
      <c r="N213">
        <v>6.2043106664010104</v>
      </c>
      <c r="O213">
        <v>25.785957325532799</v>
      </c>
      <c r="P213">
        <v>64.2305738235588</v>
      </c>
      <c r="Q213">
        <v>30.836337648656801</v>
      </c>
      <c r="R213">
        <v>198478299</v>
      </c>
      <c r="S213">
        <v>8.1380518533302401E-3</v>
      </c>
      <c r="T213">
        <v>69.894000000000005</v>
      </c>
      <c r="U213">
        <v>7.12</v>
      </c>
      <c r="V213">
        <v>118.4366</v>
      </c>
      <c r="W213">
        <v>3.9928919999999999</v>
      </c>
      <c r="X213">
        <v>61.096600000000002</v>
      </c>
      <c r="Y213">
        <v>51.04</v>
      </c>
      <c r="Z213">
        <v>44.339370727539098</v>
      </c>
      <c r="AA213">
        <v>2021</v>
      </c>
      <c r="AB213">
        <v>2022</v>
      </c>
      <c r="AC213">
        <v>0</v>
      </c>
      <c r="AD213">
        <v>0</v>
      </c>
      <c r="AE213">
        <v>1</v>
      </c>
      <c r="AF213">
        <v>1</v>
      </c>
      <c r="AJ213">
        <v>-9.2045202851295471E-2</v>
      </c>
      <c r="AK213">
        <v>0.146290123462677</v>
      </c>
      <c r="AL213">
        <v>0.14792764999999999</v>
      </c>
      <c r="AM213">
        <f>VLOOKUP(D213,[1]Sheet1!$C$1:$D$191,2,FALSE)</f>
        <v>26</v>
      </c>
    </row>
    <row r="214" spans="1:39" x14ac:dyDescent="0.35">
      <c r="A214">
        <v>2014</v>
      </c>
      <c r="B214" t="s">
        <v>29</v>
      </c>
      <c r="C214">
        <v>26</v>
      </c>
      <c r="D214" t="s">
        <v>234</v>
      </c>
      <c r="E214">
        <v>6510114</v>
      </c>
      <c r="F214">
        <v>1000000</v>
      </c>
      <c r="G214">
        <v>7510114</v>
      </c>
      <c r="H214">
        <v>1868463501755.79</v>
      </c>
      <c r="I214">
        <v>2456043727198.8501</v>
      </c>
      <c r="J214">
        <v>5.0395574024261229E-3</v>
      </c>
      <c r="K214">
        <v>9338.3427832483903</v>
      </c>
      <c r="L214">
        <v>-3.0316357249996055E-3</v>
      </c>
      <c r="M214">
        <v>9366.7393248122498</v>
      </c>
      <c r="N214">
        <v>6.3290401551613904</v>
      </c>
      <c r="O214">
        <v>24.685405813129101</v>
      </c>
      <c r="P214">
        <v>66.028510394055999</v>
      </c>
      <c r="Q214">
        <v>32.069399446366504</v>
      </c>
      <c r="R214">
        <v>200085127</v>
      </c>
      <c r="S214">
        <v>8.0957364512681557E-3</v>
      </c>
      <c r="T214">
        <v>69.38</v>
      </c>
      <c r="U214">
        <v>7.38</v>
      </c>
      <c r="V214">
        <v>117.93467</v>
      </c>
      <c r="W214">
        <v>3.0758570000000001</v>
      </c>
      <c r="X214">
        <v>63.435290000000002</v>
      </c>
      <c r="Y214">
        <v>54.551000000000002</v>
      </c>
      <c r="Z214">
        <v>47.156871795654297</v>
      </c>
      <c r="AA214">
        <v>2021</v>
      </c>
      <c r="AB214">
        <v>2022</v>
      </c>
      <c r="AC214">
        <v>0</v>
      </c>
      <c r="AD214">
        <v>0</v>
      </c>
      <c r="AE214">
        <v>1</v>
      </c>
      <c r="AF214">
        <v>1</v>
      </c>
      <c r="AJ214">
        <v>-5.2965760231018073E-2</v>
      </c>
      <c r="AK214">
        <v>-2.821995317935944E-2</v>
      </c>
      <c r="AL214">
        <v>8.56653E-2</v>
      </c>
      <c r="AM214">
        <f>VLOOKUP(D214,[1]Sheet1!$C$1:$D$191,2,FALSE)</f>
        <v>26</v>
      </c>
    </row>
    <row r="215" spans="1:39" x14ac:dyDescent="0.35">
      <c r="A215">
        <v>2015</v>
      </c>
      <c r="B215" t="s">
        <v>29</v>
      </c>
      <c r="C215">
        <v>26</v>
      </c>
      <c r="D215" t="s">
        <v>234</v>
      </c>
      <c r="E215">
        <v>12527360</v>
      </c>
      <c r="F215">
        <v>11625000</v>
      </c>
      <c r="G215">
        <v>24152360</v>
      </c>
      <c r="H215">
        <v>1802212206904.6799</v>
      </c>
      <c r="I215">
        <v>1802212206904.6799</v>
      </c>
      <c r="J215">
        <v>-3.5457633926942615E-2</v>
      </c>
      <c r="K215">
        <v>8936.1966175682501</v>
      </c>
      <c r="L215">
        <v>-4.3063975591207809E-2</v>
      </c>
      <c r="M215">
        <v>9338.3427832483903</v>
      </c>
      <c r="N215">
        <v>9.0299010241613598</v>
      </c>
      <c r="O215">
        <v>26.953625936011399</v>
      </c>
      <c r="P215">
        <v>66.829700644229007</v>
      </c>
      <c r="Q215">
        <v>36.924419825549002</v>
      </c>
      <c r="R215">
        <v>201675532</v>
      </c>
      <c r="S215">
        <v>7.9486417798560315E-3</v>
      </c>
      <c r="T215">
        <v>64.638000000000005</v>
      </c>
      <c r="U215">
        <v>6.96</v>
      </c>
      <c r="V215">
        <v>114.97248999999999</v>
      </c>
      <c r="W215">
        <v>4.0621739999999997</v>
      </c>
      <c r="X215">
        <v>73.863500000000002</v>
      </c>
      <c r="Y215">
        <v>58.328000000000003</v>
      </c>
      <c r="Z215">
        <v>48.434040069580099</v>
      </c>
      <c r="AA215">
        <v>2021</v>
      </c>
      <c r="AB215">
        <v>2022</v>
      </c>
      <c r="AC215">
        <v>0</v>
      </c>
      <c r="AD215">
        <v>0</v>
      </c>
      <c r="AE215">
        <v>1</v>
      </c>
      <c r="AF215">
        <v>1</v>
      </c>
      <c r="AJ215">
        <v>-0.187332957983017</v>
      </c>
      <c r="AK215">
        <v>-0.18191003799438479</v>
      </c>
      <c r="AL215">
        <v>0.13522087499999999</v>
      </c>
      <c r="AM215">
        <f>VLOOKUP(D215,[1]Sheet1!$C$1:$D$191,2,FALSE)</f>
        <v>26</v>
      </c>
    </row>
    <row r="216" spans="1:39" x14ac:dyDescent="0.35">
      <c r="A216">
        <v>2016</v>
      </c>
      <c r="B216" t="s">
        <v>29</v>
      </c>
      <c r="C216">
        <v>26</v>
      </c>
      <c r="D216" t="s">
        <v>234</v>
      </c>
      <c r="E216">
        <v>28673649.80059772</v>
      </c>
      <c r="F216">
        <v>60728368.829999998</v>
      </c>
      <c r="G216">
        <v>89402018.630597711</v>
      </c>
      <c r="H216">
        <v>1743173232503.8601</v>
      </c>
      <c r="I216">
        <v>1795693482652.52</v>
      </c>
      <c r="J216">
        <v>-3.2759169078218561E-2</v>
      </c>
      <c r="K216">
        <v>8577.8437669383002</v>
      </c>
      <c r="L216">
        <v>-4.0101271935472048E-2</v>
      </c>
      <c r="M216">
        <v>8936.1966175682501</v>
      </c>
      <c r="N216">
        <v>8.7391435232939294</v>
      </c>
      <c r="O216">
        <v>24.533682080439899</v>
      </c>
      <c r="P216">
        <v>62.194006970296499</v>
      </c>
      <c r="Q216">
        <v>36.491601129329801</v>
      </c>
      <c r="R216">
        <v>203218114</v>
      </c>
      <c r="S216">
        <v>7.6488306970227803E-3</v>
      </c>
      <c r="T216">
        <v>50.28</v>
      </c>
      <c r="U216">
        <v>6.9</v>
      </c>
      <c r="V216">
        <v>112.09975</v>
      </c>
      <c r="W216">
        <v>7.4543590000000002</v>
      </c>
      <c r="X216">
        <v>75.257419999999996</v>
      </c>
      <c r="Y216">
        <v>60.872500000000002</v>
      </c>
      <c r="Z216">
        <v>48.333339691162102</v>
      </c>
      <c r="AA216">
        <v>2021</v>
      </c>
      <c r="AB216">
        <v>2022</v>
      </c>
      <c r="AC216">
        <v>0</v>
      </c>
      <c r="AD216">
        <v>0</v>
      </c>
      <c r="AE216">
        <v>1</v>
      </c>
      <c r="AF216">
        <v>1</v>
      </c>
      <c r="AJ216">
        <v>-0.20130199193954471</v>
      </c>
      <c r="AK216">
        <v>-0.1899517476558685</v>
      </c>
      <c r="AL216">
        <v>0.15819475</v>
      </c>
      <c r="AM216">
        <f>VLOOKUP(D216,[1]Sheet1!$C$1:$D$191,2,FALSE)</f>
        <v>26</v>
      </c>
    </row>
    <row r="217" spans="1:39" x14ac:dyDescent="0.35">
      <c r="A217">
        <v>2017</v>
      </c>
      <c r="B217" t="s">
        <v>29</v>
      </c>
      <c r="C217">
        <v>26</v>
      </c>
      <c r="D217" t="s">
        <v>234</v>
      </c>
      <c r="E217">
        <v>54913451.546799988</v>
      </c>
      <c r="F217">
        <v>161443792.66280001</v>
      </c>
      <c r="G217">
        <v>216357244.2096</v>
      </c>
      <c r="H217">
        <v>1766233131755.03</v>
      </c>
      <c r="I217">
        <v>2063514977334.3201</v>
      </c>
      <c r="J217">
        <v>1.322869054043879E-2</v>
      </c>
      <c r="K217">
        <v>8628.2530895121399</v>
      </c>
      <c r="L217">
        <v>5.8766892873629946E-3</v>
      </c>
      <c r="M217">
        <v>8577.8437669383002</v>
      </c>
      <c r="N217">
        <v>3.4463733503266898</v>
      </c>
      <c r="O217">
        <v>24.319734374674901</v>
      </c>
      <c r="P217">
        <v>59.484309298277502</v>
      </c>
      <c r="Q217">
        <v>36.247653872634601</v>
      </c>
      <c r="R217">
        <v>204703445</v>
      </c>
      <c r="S217">
        <v>7.3090482475395872E-3</v>
      </c>
      <c r="T217">
        <v>50.223999999999997</v>
      </c>
      <c r="U217">
        <v>6.86</v>
      </c>
      <c r="V217">
        <v>107.87166999999999</v>
      </c>
      <c r="W217">
        <v>5.8996320000000004</v>
      </c>
      <c r="X217">
        <v>74.963759999999994</v>
      </c>
      <c r="Y217">
        <v>67.471299999999999</v>
      </c>
      <c r="Z217">
        <v>50.026748657226598</v>
      </c>
      <c r="AA217">
        <v>2021</v>
      </c>
      <c r="AB217">
        <v>2022</v>
      </c>
      <c r="AC217">
        <v>0</v>
      </c>
      <c r="AD217">
        <v>0</v>
      </c>
      <c r="AE217">
        <v>1</v>
      </c>
      <c r="AF217">
        <v>1</v>
      </c>
      <c r="AJ217">
        <v>-0.30542856454849238</v>
      </c>
      <c r="AK217">
        <v>-0.13097886741161349</v>
      </c>
      <c r="AL217">
        <v>0.23332687499999999</v>
      </c>
      <c r="AM217">
        <f>VLOOKUP(D217,[1]Sheet1!$C$1:$D$191,2,FALSE)</f>
        <v>26</v>
      </c>
    </row>
    <row r="218" spans="1:39" x14ac:dyDescent="0.35">
      <c r="A218">
        <v>2018</v>
      </c>
      <c r="B218" t="s">
        <v>29</v>
      </c>
      <c r="C218">
        <v>26</v>
      </c>
      <c r="D218" t="s">
        <v>234</v>
      </c>
      <c r="E218">
        <v>45057340.318000004</v>
      </c>
      <c r="F218">
        <v>621792364.98345995</v>
      </c>
      <c r="G218">
        <v>673188735.30145991</v>
      </c>
      <c r="H218">
        <v>1797736845059.1101</v>
      </c>
      <c r="I218">
        <v>1916933898038.3601</v>
      </c>
      <c r="J218">
        <v>1.7836667616339067E-2</v>
      </c>
      <c r="K218">
        <v>8722.3363036157698</v>
      </c>
      <c r="L218">
        <v>1.0904086044716328E-2</v>
      </c>
      <c r="M218">
        <v>8628.2530895121399</v>
      </c>
      <c r="N218">
        <v>3.6648502837672901</v>
      </c>
      <c r="O218">
        <v>28.876203375974299</v>
      </c>
      <c r="P218">
        <v>60.218347937317802</v>
      </c>
      <c r="Q218">
        <v>35.453999893747998</v>
      </c>
      <c r="R218">
        <v>206107261</v>
      </c>
      <c r="S218">
        <v>6.8578034922665808E-3</v>
      </c>
      <c r="T218">
        <v>49.697000000000003</v>
      </c>
      <c r="U218">
        <v>6.97</v>
      </c>
      <c r="V218">
        <v>106.54749</v>
      </c>
      <c r="W218">
        <v>4.874835</v>
      </c>
      <c r="X218">
        <v>73.847290000000001</v>
      </c>
      <c r="Y218">
        <v>70.434299999999993</v>
      </c>
      <c r="Z218">
        <v>51.191688537597699</v>
      </c>
      <c r="AA218">
        <v>2021</v>
      </c>
      <c r="AB218">
        <v>2022</v>
      </c>
      <c r="AC218">
        <v>0</v>
      </c>
      <c r="AD218">
        <v>0</v>
      </c>
      <c r="AE218">
        <v>1</v>
      </c>
      <c r="AF218">
        <v>1</v>
      </c>
      <c r="AI218">
        <v>1</v>
      </c>
      <c r="AJ218">
        <v>-0.30234295129776001</v>
      </c>
      <c r="AK218">
        <v>-0.2931254506111145</v>
      </c>
      <c r="AL218">
        <v>0.34317267499999998</v>
      </c>
      <c r="AM218">
        <f>VLOOKUP(D218,[1]Sheet1!$C$1:$D$191,2,FALSE)</f>
        <v>26</v>
      </c>
    </row>
    <row r="219" spans="1:39" x14ac:dyDescent="0.35">
      <c r="A219">
        <v>2019</v>
      </c>
      <c r="B219" t="s">
        <v>29</v>
      </c>
      <c r="C219">
        <v>26</v>
      </c>
      <c r="D219" t="s">
        <v>234</v>
      </c>
      <c r="E219">
        <v>54934307.547000363</v>
      </c>
      <c r="F219">
        <v>3437305102.1720028</v>
      </c>
      <c r="G219">
        <v>3492239409.7190027</v>
      </c>
      <c r="H219">
        <v>1819683217790.4299</v>
      </c>
      <c r="I219">
        <v>1873288205186.45</v>
      </c>
      <c r="J219">
        <v>1.2207778236084503E-2</v>
      </c>
      <c r="K219">
        <v>8771.4405133606506</v>
      </c>
      <c r="L219">
        <v>5.6297083757851736E-3</v>
      </c>
      <c r="M219">
        <v>8722.3363036157698</v>
      </c>
      <c r="N219">
        <v>3.73297621216894</v>
      </c>
      <c r="O219">
        <v>28.890257867941401</v>
      </c>
      <c r="P219">
        <v>62.790505074697201</v>
      </c>
      <c r="Q219">
        <v>34.787452837637098</v>
      </c>
      <c r="R219">
        <v>207455459</v>
      </c>
      <c r="S219">
        <v>6.541244561005544E-3</v>
      </c>
      <c r="T219">
        <v>49.137999999999998</v>
      </c>
      <c r="U219">
        <v>6.86</v>
      </c>
      <c r="V219">
        <v>102.74386</v>
      </c>
      <c r="W219">
        <v>6.0995249999999999</v>
      </c>
      <c r="X219">
        <v>73.177779999999998</v>
      </c>
      <c r="Y219">
        <v>73.912400000000005</v>
      </c>
      <c r="Z219">
        <v>52.624061584472699</v>
      </c>
      <c r="AA219">
        <v>2021</v>
      </c>
      <c r="AB219">
        <v>2022</v>
      </c>
      <c r="AC219">
        <v>0</v>
      </c>
      <c r="AD219">
        <v>0</v>
      </c>
      <c r="AE219">
        <v>1</v>
      </c>
      <c r="AF219">
        <v>1</v>
      </c>
      <c r="AI219">
        <v>1</v>
      </c>
      <c r="AJ219">
        <v>-0.22431981563568121</v>
      </c>
      <c r="AK219">
        <v>-0.12140409648418431</v>
      </c>
      <c r="AL219">
        <v>0.17059645000000001</v>
      </c>
      <c r="AM219">
        <f>VLOOKUP(D219,[1]Sheet1!$C$1:$D$191,2,FALSE)</f>
        <v>26</v>
      </c>
    </row>
    <row r="220" spans="1:39" x14ac:dyDescent="0.35">
      <c r="A220">
        <v>2020</v>
      </c>
      <c r="B220" t="s">
        <v>29</v>
      </c>
      <c r="C220">
        <v>26</v>
      </c>
      <c r="D220" t="s">
        <v>234</v>
      </c>
      <c r="E220">
        <v>84802803.205021679</v>
      </c>
      <c r="F220">
        <v>3529214630.5373859</v>
      </c>
      <c r="G220">
        <v>3614017433.7424078</v>
      </c>
      <c r="H220">
        <v>1760056587883.53</v>
      </c>
      <c r="I220">
        <v>1476107231194.1101</v>
      </c>
      <c r="J220">
        <v>-3.2767587964734973E-2</v>
      </c>
      <c r="K220">
        <v>8435.0114329718199</v>
      </c>
      <c r="L220">
        <v>-3.8355054665922005E-2</v>
      </c>
      <c r="M220">
        <v>8771.4405133606506</v>
      </c>
      <c r="N220">
        <v>3.2117680380337599</v>
      </c>
      <c r="O220">
        <v>32.302078546340901</v>
      </c>
      <c r="P220">
        <v>68.696154852477505</v>
      </c>
      <c r="Q220">
        <v>38.481161030313302</v>
      </c>
      <c r="R220">
        <v>208660842</v>
      </c>
      <c r="S220">
        <v>5.8103219158961734E-3</v>
      </c>
      <c r="T220">
        <v>43.401000000000003</v>
      </c>
      <c r="U220">
        <v>6.92</v>
      </c>
      <c r="V220">
        <v>96.555087</v>
      </c>
      <c r="W220">
        <v>4.281587</v>
      </c>
      <c r="X220">
        <v>70.458020000000005</v>
      </c>
      <c r="Y220">
        <v>81.342699999999994</v>
      </c>
      <c r="Z220">
        <v>54.572811126708999</v>
      </c>
      <c r="AA220">
        <v>2021</v>
      </c>
      <c r="AB220">
        <v>2022</v>
      </c>
      <c r="AC220">
        <v>0</v>
      </c>
      <c r="AD220">
        <v>0</v>
      </c>
      <c r="AE220">
        <v>1</v>
      </c>
      <c r="AF220">
        <v>1</v>
      </c>
      <c r="AI220">
        <v>1</v>
      </c>
      <c r="AJ220">
        <v>-0.23191976547241211</v>
      </c>
      <c r="AK220">
        <v>-0.1110115274786949</v>
      </c>
      <c r="AL220">
        <v>0.103398875</v>
      </c>
      <c r="AM220">
        <f>VLOOKUP(D220,[1]Sheet1!$C$1:$D$191,2,FALSE)</f>
        <v>26</v>
      </c>
    </row>
    <row r="221" spans="1:39" x14ac:dyDescent="0.35">
      <c r="A221">
        <v>2013</v>
      </c>
      <c r="B221" t="s">
        <v>30</v>
      </c>
      <c r="C221">
        <v>27</v>
      </c>
      <c r="D221" t="s">
        <v>235</v>
      </c>
      <c r="E221">
        <v>3233.0724600650001</v>
      </c>
      <c r="F221">
        <v>287250</v>
      </c>
      <c r="G221">
        <v>290483.07246006501</v>
      </c>
      <c r="H221">
        <v>10913490102.152901</v>
      </c>
      <c r="I221">
        <v>13444300485.8412</v>
      </c>
      <c r="J221">
        <v>5.7925848450985938E-2</v>
      </c>
      <c r="K221">
        <v>616.741331164082</v>
      </c>
      <c r="L221">
        <v>2.6650827585779118E-2</v>
      </c>
      <c r="M221">
        <v>600.73134369781803</v>
      </c>
      <c r="N221">
        <v>0.53373850709053605</v>
      </c>
      <c r="O221">
        <v>64.035851302423396</v>
      </c>
      <c r="P221">
        <v>20.821037983820201</v>
      </c>
      <c r="Q221">
        <v>12.3336649866679</v>
      </c>
      <c r="R221">
        <v>17695409</v>
      </c>
      <c r="S221">
        <v>3.0463152636570772E-2</v>
      </c>
      <c r="U221">
        <v>4.1500000000000004</v>
      </c>
      <c r="V221">
        <v>2.6544376000000001</v>
      </c>
      <c r="W221">
        <v>3.7346970000000002</v>
      </c>
      <c r="X221">
        <v>75.676339999999996</v>
      </c>
      <c r="Y221">
        <v>5</v>
      </c>
      <c r="Z221">
        <v>4.5733834207770103</v>
      </c>
      <c r="AJ221">
        <v>-0.52672994136810303</v>
      </c>
      <c r="AK221">
        <v>-0.19750747084617609</v>
      </c>
      <c r="AL221">
        <v>0.10254924999999999</v>
      </c>
      <c r="AM221">
        <f>VLOOKUP(D221,[1]Sheet1!$C$1:$D$191,2,FALSE)</f>
        <v>27</v>
      </c>
    </row>
    <row r="222" spans="1:39" x14ac:dyDescent="0.35">
      <c r="A222">
        <v>2014</v>
      </c>
      <c r="B222" t="s">
        <v>30</v>
      </c>
      <c r="C222">
        <v>27</v>
      </c>
      <c r="D222" t="s">
        <v>235</v>
      </c>
      <c r="E222">
        <v>35790.965020780197</v>
      </c>
      <c r="F222">
        <v>495650</v>
      </c>
      <c r="G222">
        <v>531440.96502078022</v>
      </c>
      <c r="H222">
        <v>11385699970.030001</v>
      </c>
      <c r="I222">
        <v>13943016076.743601</v>
      </c>
      <c r="J222">
        <v>4.3268456145293732E-2</v>
      </c>
      <c r="K222">
        <v>624.57688518766497</v>
      </c>
      <c r="L222">
        <v>1.2704765559969175E-2</v>
      </c>
      <c r="M222">
        <v>616.741331164082</v>
      </c>
      <c r="N222">
        <v>-0.25808951753538401</v>
      </c>
      <c r="O222">
        <v>58.8235624937426</v>
      </c>
      <c r="P222">
        <v>23.405608156112901</v>
      </c>
      <c r="Q222">
        <v>12.8787351779888</v>
      </c>
      <c r="R222">
        <v>18229461</v>
      </c>
      <c r="S222">
        <v>3.0180257489386089E-2</v>
      </c>
      <c r="T222">
        <v>58.625999999999998</v>
      </c>
      <c r="U222">
        <v>4.09</v>
      </c>
      <c r="V222">
        <v>3.2084253</v>
      </c>
      <c r="W222">
        <v>3.3500009999999998</v>
      </c>
      <c r="X222">
        <v>83.218639999999994</v>
      </c>
      <c r="Y222">
        <v>6</v>
      </c>
      <c r="Z222">
        <v>4.8953991772569898</v>
      </c>
      <c r="AJ222">
        <v>-0.54577076435089111</v>
      </c>
      <c r="AK222">
        <v>-0.34095394611358643</v>
      </c>
      <c r="AL222">
        <v>8.6142650000000001E-2</v>
      </c>
      <c r="AM222">
        <f>VLOOKUP(D222,[1]Sheet1!$C$1:$D$191,2,FALSE)</f>
        <v>27</v>
      </c>
    </row>
    <row r="223" spans="1:39" x14ac:dyDescent="0.35">
      <c r="A223">
        <v>2015</v>
      </c>
      <c r="B223" t="s">
        <v>30</v>
      </c>
      <c r="C223">
        <v>27</v>
      </c>
      <c r="D223" t="s">
        <v>235</v>
      </c>
      <c r="E223">
        <v>98792.179932816798</v>
      </c>
      <c r="F223">
        <v>811325</v>
      </c>
      <c r="G223">
        <v>910117.17993281677</v>
      </c>
      <c r="H223">
        <v>11832159315.629801</v>
      </c>
      <c r="I223">
        <v>11832159315.629801</v>
      </c>
      <c r="J223">
        <v>3.9212287937939024E-2</v>
      </c>
      <c r="K223">
        <v>630.12475075231202</v>
      </c>
      <c r="L223">
        <v>8.8825982776805801E-3</v>
      </c>
      <c r="M223">
        <v>624.57688518766497</v>
      </c>
      <c r="N223">
        <v>0.72483898107051703</v>
      </c>
      <c r="O223">
        <v>59.089181310166197</v>
      </c>
      <c r="P223">
        <v>25.037770562270399</v>
      </c>
      <c r="Q223">
        <v>13.197493441764101</v>
      </c>
      <c r="R223">
        <v>18777487</v>
      </c>
      <c r="S223">
        <v>3.0062655171208846E-2</v>
      </c>
      <c r="U223">
        <v>4.7</v>
      </c>
      <c r="V223">
        <v>3.4595072999999998</v>
      </c>
      <c r="W223">
        <v>2.8635989999999998</v>
      </c>
      <c r="X223">
        <v>56.047179999999997</v>
      </c>
      <c r="Y223">
        <v>6.55</v>
      </c>
      <c r="Z223">
        <v>4.9035686633349798</v>
      </c>
      <c r="AJ223">
        <v>-0.54112863540649414</v>
      </c>
      <c r="AK223">
        <v>-0.42423820495605469</v>
      </c>
      <c r="AL223">
        <v>0.222705075</v>
      </c>
      <c r="AM223">
        <f>VLOOKUP(D223,[1]Sheet1!$C$1:$D$191,2,FALSE)</f>
        <v>27</v>
      </c>
    </row>
    <row r="224" spans="1:39" x14ac:dyDescent="0.35">
      <c r="A224">
        <v>2016</v>
      </c>
      <c r="B224" t="s">
        <v>30</v>
      </c>
      <c r="C224">
        <v>27</v>
      </c>
      <c r="D224" t="s">
        <v>235</v>
      </c>
      <c r="E224">
        <v>34576.071212452298</v>
      </c>
      <c r="F224">
        <v>1008275</v>
      </c>
      <c r="G224">
        <v>1042851.0712124523</v>
      </c>
      <c r="H224">
        <v>12537116611.6541</v>
      </c>
      <c r="I224">
        <v>12833363045.3367</v>
      </c>
      <c r="J224">
        <v>5.9579767075404383E-2</v>
      </c>
      <c r="K224">
        <v>648.42048017601201</v>
      </c>
      <c r="L224">
        <v>2.9035090911532252E-2</v>
      </c>
      <c r="M224">
        <v>630.12475075231202</v>
      </c>
      <c r="N224">
        <v>0.441041448058902</v>
      </c>
      <c r="O224">
        <v>57.893172799440599</v>
      </c>
      <c r="P224">
        <v>25.809945602652601</v>
      </c>
      <c r="Q224">
        <v>14.7098212612735</v>
      </c>
      <c r="R224">
        <v>19334856</v>
      </c>
      <c r="S224">
        <v>2.9682832425872534E-2</v>
      </c>
      <c r="U224">
        <v>4.7</v>
      </c>
      <c r="V224">
        <v>3.6923520000000001</v>
      </c>
      <c r="W224">
        <v>2.4655589999999998</v>
      </c>
      <c r="X224">
        <v>58.12473</v>
      </c>
      <c r="Y224">
        <v>7.14</v>
      </c>
      <c r="Z224">
        <v>5.4054146587806304</v>
      </c>
      <c r="AJ224">
        <v>-0.45529830455780029</v>
      </c>
      <c r="AK224">
        <v>-0.44747668504714971</v>
      </c>
      <c r="AL224">
        <v>0.115011275</v>
      </c>
      <c r="AM224">
        <f>VLOOKUP(D224,[1]Sheet1!$C$1:$D$191,2,FALSE)</f>
        <v>27</v>
      </c>
    </row>
    <row r="225" spans="1:39" x14ac:dyDescent="0.35">
      <c r="A225">
        <v>2017</v>
      </c>
      <c r="B225" t="s">
        <v>30</v>
      </c>
      <c r="C225">
        <v>27</v>
      </c>
      <c r="D225" t="s">
        <v>235</v>
      </c>
      <c r="E225">
        <v>68982</v>
      </c>
      <c r="F225">
        <v>1040775</v>
      </c>
      <c r="G225">
        <v>1109757</v>
      </c>
      <c r="H225">
        <v>13314855313.130199</v>
      </c>
      <c r="I225">
        <v>14106955615.3442</v>
      </c>
      <c r="J225">
        <v>6.2034894112186698E-2</v>
      </c>
      <c r="K225">
        <v>669.27631032833301</v>
      </c>
      <c r="L225">
        <v>3.2164052169758345E-2</v>
      </c>
      <c r="M225">
        <v>648.42048017601201</v>
      </c>
      <c r="N225">
        <v>1.4829989716132499</v>
      </c>
      <c r="O225">
        <v>59.268780202016799</v>
      </c>
      <c r="P225">
        <v>27.4216018903543</v>
      </c>
      <c r="Q225">
        <v>18.4897905554418</v>
      </c>
      <c r="R225">
        <v>19894407</v>
      </c>
      <c r="S225">
        <v>2.8940013827876452E-2</v>
      </c>
      <c r="U225">
        <v>4.75</v>
      </c>
      <c r="V225">
        <v>3.9728409999999998</v>
      </c>
      <c r="W225">
        <v>3.3706870000000002</v>
      </c>
      <c r="X225">
        <v>56.270659999999999</v>
      </c>
      <c r="Y225">
        <v>7.79</v>
      </c>
      <c r="Z225">
        <v>5.8341880408111999</v>
      </c>
      <c r="AJ225">
        <v>-0.41496333479881292</v>
      </c>
      <c r="AK225">
        <v>-0.48115766048431402</v>
      </c>
      <c r="AL225">
        <v>7.5875974999999998E-2</v>
      </c>
      <c r="AM225">
        <f>VLOOKUP(D225,[1]Sheet1!$C$1:$D$191,2,FALSE)</f>
        <v>27</v>
      </c>
    </row>
    <row r="226" spans="1:39" x14ac:dyDescent="0.35">
      <c r="A226">
        <v>2018</v>
      </c>
      <c r="B226" t="s">
        <v>30</v>
      </c>
      <c r="C226">
        <v>27</v>
      </c>
      <c r="D226" t="s">
        <v>235</v>
      </c>
      <c r="E226">
        <v>601.37</v>
      </c>
      <c r="F226">
        <v>744800</v>
      </c>
      <c r="G226">
        <v>745401.37</v>
      </c>
      <c r="H226">
        <v>14194244128.606501</v>
      </c>
      <c r="I226">
        <v>15890066221.2882</v>
      </c>
      <c r="J226">
        <v>6.6045690681227912E-2</v>
      </c>
      <c r="K226">
        <v>694.49281312635105</v>
      </c>
      <c r="L226">
        <v>3.7677267832246071E-2</v>
      </c>
      <c r="M226">
        <v>669.27631032833301</v>
      </c>
      <c r="N226">
        <v>1.95594302672523</v>
      </c>
      <c r="O226">
        <v>60.5956256236488</v>
      </c>
      <c r="P226">
        <v>27.149713713934901</v>
      </c>
      <c r="Q226">
        <v>17.3707418259823</v>
      </c>
      <c r="R226">
        <v>20438288</v>
      </c>
      <c r="S226">
        <v>2.7338387115534532E-2</v>
      </c>
      <c r="T226">
        <v>38.481000000000002</v>
      </c>
      <c r="U226">
        <v>4.75</v>
      </c>
      <c r="V226">
        <v>3.9637429000000002</v>
      </c>
      <c r="W226">
        <v>3.3521939999999999</v>
      </c>
      <c r="X226">
        <v>55.563369999999999</v>
      </c>
      <c r="Y226">
        <v>8.5</v>
      </c>
      <c r="Z226">
        <v>6.3182611029115803</v>
      </c>
      <c r="AJ226">
        <v>-0.45925754308700562</v>
      </c>
      <c r="AK226">
        <v>-0.4052489697933197</v>
      </c>
      <c r="AL226">
        <v>3.9131724999999999E-2</v>
      </c>
      <c r="AM226">
        <f>VLOOKUP(D226,[1]Sheet1!$C$1:$D$191,2,FALSE)</f>
        <v>27</v>
      </c>
    </row>
    <row r="227" spans="1:39" x14ac:dyDescent="0.35">
      <c r="A227">
        <v>2019</v>
      </c>
      <c r="B227" t="s">
        <v>30</v>
      </c>
      <c r="C227">
        <v>27</v>
      </c>
      <c r="D227" t="s">
        <v>235</v>
      </c>
      <c r="E227">
        <v>111958.803</v>
      </c>
      <c r="F227">
        <v>1172275</v>
      </c>
      <c r="G227">
        <v>1284233.8030000001</v>
      </c>
      <c r="H227">
        <v>15030172259.379101</v>
      </c>
      <c r="I227">
        <v>16032813503.370701</v>
      </c>
      <c r="J227">
        <v>5.8892049706817759E-2</v>
      </c>
      <c r="K227">
        <v>717.02159509663397</v>
      </c>
      <c r="L227">
        <v>3.243918661860104E-2</v>
      </c>
      <c r="M227">
        <v>694.49281312635105</v>
      </c>
      <c r="N227">
        <v>-3.2333893398333</v>
      </c>
      <c r="O227">
        <v>60.4086928753226</v>
      </c>
      <c r="P227">
        <v>28.347857887695799</v>
      </c>
      <c r="Q227">
        <v>18.217428837611202</v>
      </c>
      <c r="R227">
        <v>20961952</v>
      </c>
      <c r="S227">
        <v>2.5621715478321865E-2</v>
      </c>
      <c r="T227">
        <v>67.876999999999995</v>
      </c>
      <c r="U227">
        <v>4.04</v>
      </c>
      <c r="V227">
        <v>4.3585650999999999</v>
      </c>
      <c r="W227">
        <v>3.4982549999999999</v>
      </c>
      <c r="X227">
        <v>55.308</v>
      </c>
      <c r="Y227">
        <v>9.2718100000000003</v>
      </c>
      <c r="Z227">
        <v>6.9053259492615897</v>
      </c>
      <c r="AJ227">
        <v>-0.46383377909660339</v>
      </c>
      <c r="AK227">
        <v>-0.42292308807373052</v>
      </c>
      <c r="AL227">
        <v>5.8785274999999998E-2</v>
      </c>
      <c r="AM227">
        <f>VLOOKUP(D227,[1]Sheet1!$C$1:$D$191,2,FALSE)</f>
        <v>27</v>
      </c>
    </row>
    <row r="228" spans="1:39" x14ac:dyDescent="0.35">
      <c r="A228">
        <v>2020</v>
      </c>
      <c r="B228" t="s">
        <v>30</v>
      </c>
      <c r="C228">
        <v>27</v>
      </c>
      <c r="D228" t="s">
        <v>235</v>
      </c>
      <c r="E228">
        <v>64246.803434752503</v>
      </c>
      <c r="F228">
        <v>1044900</v>
      </c>
      <c r="G228">
        <v>1109146.8034347524</v>
      </c>
      <c r="H228">
        <v>15332394848.5201</v>
      </c>
      <c r="I228">
        <v>17725010532.526798</v>
      </c>
      <c r="J228">
        <v>2.0107726240622854E-2</v>
      </c>
      <c r="K228">
        <v>713.84217792239997</v>
      </c>
      <c r="L228">
        <v>-4.4342000240669317E-3</v>
      </c>
      <c r="M228">
        <v>717.02159509663397</v>
      </c>
      <c r="N228">
        <v>1.8844399378199099</v>
      </c>
      <c r="O228">
        <v>60.739778640323898</v>
      </c>
      <c r="P228">
        <v>28.673890525550402</v>
      </c>
      <c r="Q228">
        <v>17.179242396065298</v>
      </c>
      <c r="R228">
        <v>21478690</v>
      </c>
      <c r="S228">
        <v>2.4651234770502288E-2</v>
      </c>
      <c r="U228">
        <v>3.73</v>
      </c>
      <c r="V228">
        <v>4.3772026999999998</v>
      </c>
      <c r="W228">
        <v>2.5684399999999998</v>
      </c>
      <c r="X228">
        <v>94.002589999999998</v>
      </c>
      <c r="Y228">
        <v>10.7927</v>
      </c>
      <c r="Z228">
        <v>7.6427706224232397</v>
      </c>
      <c r="AJ228">
        <v>-0.46871858835220342</v>
      </c>
      <c r="AK228">
        <v>-0.48270034790039063</v>
      </c>
      <c r="AL228">
        <v>0.10316977500000001</v>
      </c>
      <c r="AM228">
        <f>VLOOKUP(D228,[1]Sheet1!$C$1:$D$191,2,FALSE)</f>
        <v>27</v>
      </c>
    </row>
    <row r="229" spans="1:39" x14ac:dyDescent="0.35">
      <c r="A229">
        <v>2013</v>
      </c>
      <c r="B229" t="s">
        <v>31</v>
      </c>
      <c r="C229">
        <v>28</v>
      </c>
      <c r="D229" s="2" t="s">
        <v>347</v>
      </c>
      <c r="E229">
        <v>12421</v>
      </c>
      <c r="F229">
        <v>930550</v>
      </c>
      <c r="G229">
        <v>942971</v>
      </c>
      <c r="H229">
        <v>3098572839.6490998</v>
      </c>
      <c r="I229">
        <v>2451606632.29246</v>
      </c>
      <c r="J229">
        <v>4.924189898346875E-2</v>
      </c>
      <c r="K229">
        <v>296.81690057342701</v>
      </c>
      <c r="L229">
        <v>1.2223333200408653E-2</v>
      </c>
      <c r="M229">
        <v>293.23262054724898</v>
      </c>
      <c r="N229">
        <v>7.9379580749241798</v>
      </c>
      <c r="O229">
        <v>46.604079086765502</v>
      </c>
      <c r="P229">
        <v>19.389820932408401</v>
      </c>
      <c r="Q229">
        <v>17.016470420365199</v>
      </c>
      <c r="R229">
        <v>10439341</v>
      </c>
      <c r="S229">
        <v>3.6571539668045806E-2</v>
      </c>
      <c r="U229">
        <v>3.41</v>
      </c>
      <c r="V229">
        <v>1.5534133000000001</v>
      </c>
      <c r="W229">
        <v>6.7787750000000004</v>
      </c>
      <c r="X229">
        <v>100</v>
      </c>
      <c r="Y229">
        <v>1.2642199999999999</v>
      </c>
      <c r="Z229">
        <v>3.70341642841244</v>
      </c>
      <c r="AJ229">
        <v>-1.076633214950562</v>
      </c>
      <c r="AK229">
        <v>-0.9007946252822876</v>
      </c>
      <c r="AL229">
        <v>4.3519525000000003E-2</v>
      </c>
      <c r="AM229">
        <f>VLOOKUP(D229,[1]Sheet1!$C$1:$D$191,2,FALSE)</f>
        <v>28</v>
      </c>
    </row>
    <row r="230" spans="1:39" x14ac:dyDescent="0.35">
      <c r="A230">
        <v>2014</v>
      </c>
      <c r="B230" t="s">
        <v>31</v>
      </c>
      <c r="C230">
        <v>28</v>
      </c>
      <c r="D230" s="2" t="s">
        <v>347</v>
      </c>
      <c r="E230">
        <v>16087</v>
      </c>
      <c r="F230">
        <v>1112125</v>
      </c>
      <c r="G230">
        <v>1128212</v>
      </c>
      <c r="H230">
        <v>3229972475.4054499</v>
      </c>
      <c r="I230">
        <v>2705783329.8048301</v>
      </c>
      <c r="J230">
        <v>4.2406502140266124E-2</v>
      </c>
      <c r="K230">
        <v>299.07747935773199</v>
      </c>
      <c r="L230">
        <v>7.6160716587826416E-3</v>
      </c>
      <c r="M230">
        <v>296.81690057342701</v>
      </c>
      <c r="N230">
        <v>4.4053523418529297</v>
      </c>
      <c r="O230">
        <v>42.995025805262998</v>
      </c>
      <c r="P230">
        <v>19.293412017541701</v>
      </c>
      <c r="Q230">
        <v>16.9374058140755</v>
      </c>
      <c r="R230">
        <v>10799785</v>
      </c>
      <c r="S230">
        <v>3.4527466819984136E-2</v>
      </c>
      <c r="T230">
        <v>33.776000000000003</v>
      </c>
      <c r="U230">
        <v>3.33</v>
      </c>
      <c r="V230">
        <v>1.5081867</v>
      </c>
      <c r="W230">
        <v>0</v>
      </c>
      <c r="X230">
        <v>0</v>
      </c>
      <c r="Y230">
        <v>1.0423899999999999</v>
      </c>
      <c r="Z230">
        <v>4.4689205804229903</v>
      </c>
      <c r="AJ230">
        <v>-0.97056686878204346</v>
      </c>
      <c r="AK230">
        <v>-0.73312270641326904</v>
      </c>
      <c r="AL230">
        <v>4.6233999999999997E-2</v>
      </c>
      <c r="AM230">
        <f>VLOOKUP(D230,[1]Sheet1!$C$1:$D$191,2,FALSE)</f>
        <v>28</v>
      </c>
    </row>
    <row r="231" spans="1:39" x14ac:dyDescent="0.35">
      <c r="A231">
        <v>2015</v>
      </c>
      <c r="B231" t="s">
        <v>31</v>
      </c>
      <c r="C231">
        <v>28</v>
      </c>
      <c r="D231" s="2" t="s">
        <v>347</v>
      </c>
      <c r="E231">
        <v>7323</v>
      </c>
      <c r="F231">
        <v>775950</v>
      </c>
      <c r="G231">
        <v>783273</v>
      </c>
      <c r="H231">
        <v>3104003546.2649698</v>
      </c>
      <c r="I231">
        <v>3104003546.2649698</v>
      </c>
      <c r="J231">
        <v>-3.9000000804857479E-2</v>
      </c>
      <c r="K231">
        <v>280.96683131192299</v>
      </c>
      <c r="L231">
        <v>-6.0555037727018313E-2</v>
      </c>
      <c r="M231">
        <v>299.07747935773199</v>
      </c>
      <c r="N231">
        <v>5.5446889125977901</v>
      </c>
      <c r="O231">
        <v>22.8382834157721</v>
      </c>
      <c r="P231">
        <v>16.388092420485599</v>
      </c>
      <c r="Q231">
        <v>18.603228408514699</v>
      </c>
      <c r="R231">
        <v>11047580</v>
      </c>
      <c r="S231">
        <v>2.2944438245761374E-2</v>
      </c>
      <c r="U231">
        <v>2.4900000000000002</v>
      </c>
      <c r="V231">
        <v>1.4272507999999999</v>
      </c>
      <c r="W231">
        <v>8.8337970000000006</v>
      </c>
      <c r="X231">
        <v>91.896690000000007</v>
      </c>
      <c r="Y231">
        <v>2</v>
      </c>
      <c r="Z231">
        <v>5.2585653791864502</v>
      </c>
      <c r="AJ231">
        <v>-1.1858997344970701</v>
      </c>
      <c r="AK231">
        <v>-0.75514811277389526</v>
      </c>
      <c r="AL231">
        <v>8.6012850000000002E-2</v>
      </c>
      <c r="AM231">
        <f>VLOOKUP(D231,[1]Sheet1!$C$1:$D$191,2,FALSE)</f>
        <v>28</v>
      </c>
    </row>
    <row r="232" spans="1:39" x14ac:dyDescent="0.35">
      <c r="A232">
        <v>2016</v>
      </c>
      <c r="B232" t="s">
        <v>31</v>
      </c>
      <c r="C232">
        <v>28</v>
      </c>
      <c r="D232" s="2" t="s">
        <v>347</v>
      </c>
      <c r="E232">
        <v>11269.1023728444</v>
      </c>
      <c r="F232">
        <v>457075</v>
      </c>
      <c r="G232">
        <v>468344.10237284441</v>
      </c>
      <c r="H232">
        <v>3085379496.7683802</v>
      </c>
      <c r="I232">
        <v>2644487776.5007701</v>
      </c>
      <c r="J232">
        <v>-6.0000090911622433E-3</v>
      </c>
      <c r="K232">
        <v>274.51336339901098</v>
      </c>
      <c r="L232">
        <v>-2.2968789172653301E-2</v>
      </c>
      <c r="M232">
        <v>280.96683131192299</v>
      </c>
      <c r="N232">
        <v>5.5576896140096501</v>
      </c>
      <c r="O232">
        <v>23.043725257044901</v>
      </c>
      <c r="P232">
        <v>17.1699072573753</v>
      </c>
      <c r="Q232">
        <v>17.604481113867202</v>
      </c>
      <c r="R232">
        <v>11239451</v>
      </c>
      <c r="S232">
        <v>1.7367695006508213E-2</v>
      </c>
      <c r="U232">
        <v>2.4</v>
      </c>
      <c r="V232">
        <v>1.4186916000000001</v>
      </c>
      <c r="W232">
        <v>9.374943</v>
      </c>
      <c r="X232">
        <v>89.849360000000004</v>
      </c>
      <c r="Y232">
        <v>2.2000000000000002</v>
      </c>
      <c r="Z232">
        <v>3.9790891636179699</v>
      </c>
      <c r="AJ232">
        <v>-1.484393715858459</v>
      </c>
      <c r="AK232">
        <v>-0.85465514659881592</v>
      </c>
      <c r="AL232">
        <v>0.11537604999999999</v>
      </c>
      <c r="AM232">
        <f>VLOOKUP(D232,[1]Sheet1!$C$1:$D$191,2,FALSE)</f>
        <v>28</v>
      </c>
    </row>
    <row r="233" spans="1:39" x14ac:dyDescent="0.35">
      <c r="A233">
        <v>2017</v>
      </c>
      <c r="B233" t="s">
        <v>31</v>
      </c>
      <c r="C233">
        <v>28</v>
      </c>
      <c r="D233" s="2" t="s">
        <v>347</v>
      </c>
      <c r="E233">
        <v>44608</v>
      </c>
      <c r="F233">
        <v>100775</v>
      </c>
      <c r="G233">
        <v>145383</v>
      </c>
      <c r="H233">
        <v>3100806433.20295</v>
      </c>
      <c r="I233">
        <v>2723586962.8403401</v>
      </c>
      <c r="J233">
        <v>5.0000126242907804E-3</v>
      </c>
      <c r="K233">
        <v>269.47688960656001</v>
      </c>
      <c r="L233">
        <v>-1.834691663126926E-2</v>
      </c>
      <c r="M233">
        <v>274.51336339901098</v>
      </c>
      <c r="N233">
        <v>16.0525353030392</v>
      </c>
      <c r="O233">
        <v>22.2402931011977</v>
      </c>
      <c r="P233">
        <v>15.463733539857699</v>
      </c>
      <c r="Q233">
        <v>17.694847883891299</v>
      </c>
      <c r="R233">
        <v>11506762</v>
      </c>
      <c r="S233">
        <v>2.3783279094325871E-2</v>
      </c>
      <c r="U233">
        <v>2.33</v>
      </c>
      <c r="V233">
        <v>0</v>
      </c>
      <c r="W233">
        <v>9.8117110000000007</v>
      </c>
      <c r="X233">
        <v>91.978589999999997</v>
      </c>
      <c r="Y233">
        <v>2.6607500000000002</v>
      </c>
      <c r="Z233">
        <v>4.3052800579830697</v>
      </c>
      <c r="AJ233">
        <v>-1.4110038280487061</v>
      </c>
      <c r="AK233">
        <v>-0.86903214454650879</v>
      </c>
      <c r="AL233">
        <v>9.3671174999999995E-2</v>
      </c>
      <c r="AM233">
        <f>VLOOKUP(D233,[1]Sheet1!$C$1:$D$191,2,FALSE)</f>
        <v>28</v>
      </c>
    </row>
    <row r="234" spans="1:39" x14ac:dyDescent="0.35">
      <c r="A234">
        <v>2018</v>
      </c>
      <c r="B234" t="s">
        <v>31</v>
      </c>
      <c r="C234">
        <v>28</v>
      </c>
      <c r="D234" s="2" t="s">
        <v>347</v>
      </c>
      <c r="E234">
        <v>42073.51</v>
      </c>
      <c r="G234">
        <v>42073.51</v>
      </c>
      <c r="H234">
        <v>3150727414.31633</v>
      </c>
      <c r="I234">
        <v>2667182199.51333</v>
      </c>
      <c r="J234">
        <v>1.6099354212773136E-2</v>
      </c>
      <c r="K234">
        <v>265.67239433581699</v>
      </c>
      <c r="L234">
        <v>-1.411807623391243E-2</v>
      </c>
      <c r="M234">
        <v>269.47688960656001</v>
      </c>
      <c r="N234">
        <v>-2.8146980766846501</v>
      </c>
      <c r="O234">
        <v>26.599702464777401</v>
      </c>
      <c r="P234">
        <v>18.0326439171962</v>
      </c>
      <c r="R234">
        <v>11859446</v>
      </c>
      <c r="S234">
        <v>3.0650151623888632E-2</v>
      </c>
      <c r="U234">
        <v>2.33</v>
      </c>
      <c r="V234">
        <v>0</v>
      </c>
      <c r="W234">
        <v>9.6806079999999994</v>
      </c>
      <c r="X234">
        <v>86.965059999999994</v>
      </c>
      <c r="Y234">
        <v>4</v>
      </c>
      <c r="Z234">
        <v>4.5528192293384597</v>
      </c>
      <c r="AJ234">
        <v>-1.5138199329376221</v>
      </c>
      <c r="AK234">
        <v>-1.009911775588989</v>
      </c>
      <c r="AL234">
        <v>8.6268850000000008E-2</v>
      </c>
      <c r="AM234">
        <f>VLOOKUP(D234,[1]Sheet1!$C$1:$D$191,2,FALSE)</f>
        <v>28</v>
      </c>
    </row>
    <row r="235" spans="1:39" x14ac:dyDescent="0.35">
      <c r="A235">
        <v>2020</v>
      </c>
      <c r="B235" t="s">
        <v>31</v>
      </c>
      <c r="C235">
        <v>28</v>
      </c>
      <c r="D235" s="2" t="s">
        <v>347</v>
      </c>
      <c r="E235">
        <v>29905.41</v>
      </c>
      <c r="G235">
        <v>29905.41</v>
      </c>
      <c r="H235">
        <v>3218331064.79216</v>
      </c>
      <c r="I235">
        <v>2649680261.4429898</v>
      </c>
      <c r="J235">
        <v>3.2715689263839581E-3</v>
      </c>
      <c r="K235">
        <v>255.07821843356501</v>
      </c>
      <c r="L235">
        <v>-2.5489807872470311E-2</v>
      </c>
      <c r="M235">
        <v>261.75018023842699</v>
      </c>
      <c r="N235">
        <v>7.3211064341552099</v>
      </c>
      <c r="O235">
        <v>26.773329999594999</v>
      </c>
      <c r="P235">
        <v>23.637703210135399</v>
      </c>
      <c r="Q235">
        <v>17.673688642355302</v>
      </c>
      <c r="R235">
        <v>12617036</v>
      </c>
      <c r="S235">
        <v>2.9513674696475069E-2</v>
      </c>
      <c r="T235">
        <v>76.653000000000006</v>
      </c>
      <c r="U235">
        <v>2.14</v>
      </c>
      <c r="V235">
        <v>0</v>
      </c>
      <c r="W235">
        <v>8.0426300000000008</v>
      </c>
      <c r="X235">
        <v>80.496430000000004</v>
      </c>
      <c r="Y235">
        <v>9.1730199999999993</v>
      </c>
      <c r="AJ235">
        <v>-1.3406509160995479</v>
      </c>
      <c r="AK235">
        <v>-1.0617718696594241</v>
      </c>
      <c r="AL235">
        <v>0.16880102499999999</v>
      </c>
      <c r="AM235">
        <f>VLOOKUP(D235,[1]Sheet1!$C$1:$D$191,2,FALSE)</f>
        <v>28</v>
      </c>
    </row>
    <row r="236" spans="1:39" x14ac:dyDescent="0.35">
      <c r="A236">
        <v>2013</v>
      </c>
      <c r="B236" t="s">
        <v>32</v>
      </c>
      <c r="C236">
        <v>29</v>
      </c>
      <c r="D236" t="s">
        <v>236</v>
      </c>
      <c r="E236">
        <v>182990.93225894781</v>
      </c>
      <c r="F236">
        <v>284475</v>
      </c>
      <c r="G236">
        <v>467465.93225894775</v>
      </c>
      <c r="H236">
        <v>28833560540.7901</v>
      </c>
      <c r="I236">
        <v>33728621180.323101</v>
      </c>
      <c r="J236">
        <v>4.9955291613077178E-2</v>
      </c>
      <c r="K236">
        <v>1347.2130636705999</v>
      </c>
      <c r="L236">
        <v>2.0871471911612455E-2</v>
      </c>
      <c r="M236">
        <v>1319.66961634054</v>
      </c>
      <c r="N236">
        <v>2.0503471800174098</v>
      </c>
      <c r="O236">
        <v>49.674536346213401</v>
      </c>
      <c r="P236">
        <v>12.9611374928781</v>
      </c>
      <c r="Q236">
        <v>12.935408968210201</v>
      </c>
      <c r="R236">
        <v>21402376</v>
      </c>
      <c r="S236">
        <v>2.8489207996971001E-2</v>
      </c>
      <c r="U236">
        <v>3.41</v>
      </c>
      <c r="V236">
        <v>3.1583047</v>
      </c>
      <c r="W236">
        <v>4.9524160000000004</v>
      </c>
      <c r="X236">
        <v>59.858220000000003</v>
      </c>
      <c r="Y236">
        <v>10</v>
      </c>
      <c r="Z236">
        <v>15.7712802886963</v>
      </c>
      <c r="AJ236">
        <v>-1.058318138122559</v>
      </c>
      <c r="AK236">
        <v>-0.95976823568344116</v>
      </c>
      <c r="AL236">
        <v>4.7317499999999998E-2</v>
      </c>
      <c r="AM236">
        <f>VLOOKUP(D236,[1]Sheet1!$C$1:$D$191,2,FALSE)</f>
        <v>29</v>
      </c>
    </row>
    <row r="237" spans="1:39" x14ac:dyDescent="0.35">
      <c r="A237">
        <v>2014</v>
      </c>
      <c r="B237" t="s">
        <v>32</v>
      </c>
      <c r="C237">
        <v>29</v>
      </c>
      <c r="D237" t="s">
        <v>236</v>
      </c>
      <c r="F237">
        <v>2138550</v>
      </c>
      <c r="G237">
        <v>2138550</v>
      </c>
      <c r="H237">
        <v>30482787768.478298</v>
      </c>
      <c r="I237">
        <v>36386544706.080597</v>
      </c>
      <c r="J237">
        <v>5.7198181450919962E-2</v>
      </c>
      <c r="K237">
        <v>1381.81938454907</v>
      </c>
      <c r="L237">
        <v>2.5687340637999875E-2</v>
      </c>
      <c r="M237">
        <v>1347.2130636705999</v>
      </c>
      <c r="N237">
        <v>1.8548985036677701</v>
      </c>
      <c r="O237">
        <v>50.832389308764803</v>
      </c>
      <c r="P237">
        <v>13.727836427263201</v>
      </c>
      <c r="Q237">
        <v>12.860314822325799</v>
      </c>
      <c r="R237">
        <v>22059893</v>
      </c>
      <c r="S237">
        <v>3.072168248983197E-2</v>
      </c>
      <c r="T237">
        <v>75.238</v>
      </c>
      <c r="U237">
        <v>3.41</v>
      </c>
      <c r="V237">
        <v>3.581569</v>
      </c>
      <c r="W237">
        <v>4.3436729999999999</v>
      </c>
      <c r="X237">
        <v>61.517009999999999</v>
      </c>
      <c r="Y237">
        <v>16.2149</v>
      </c>
      <c r="Z237">
        <v>16.7535896301269</v>
      </c>
      <c r="AJ237">
        <v>-0.89785367250442505</v>
      </c>
      <c r="AK237">
        <v>-0.89847171306610107</v>
      </c>
      <c r="AL237">
        <v>8.5561675000000004E-2</v>
      </c>
      <c r="AM237">
        <f>VLOOKUP(D237,[1]Sheet1!$C$1:$D$191,2,FALSE)</f>
        <v>29</v>
      </c>
    </row>
    <row r="238" spans="1:39" x14ac:dyDescent="0.35">
      <c r="A238">
        <v>2015</v>
      </c>
      <c r="B238" t="s">
        <v>32</v>
      </c>
      <c r="C238">
        <v>29</v>
      </c>
      <c r="D238" t="s">
        <v>236</v>
      </c>
      <c r="E238">
        <v>1025516.745818199</v>
      </c>
      <c r="F238">
        <v>6046150</v>
      </c>
      <c r="G238">
        <v>7071666.7458181987</v>
      </c>
      <c r="H238">
        <v>32210233020.456902</v>
      </c>
      <c r="I238">
        <v>32210233020.456902</v>
      </c>
      <c r="J238">
        <v>5.6669529870392081E-2</v>
      </c>
      <c r="K238">
        <v>1415.00009710569</v>
      </c>
      <c r="L238">
        <v>2.4012336870963654E-2</v>
      </c>
      <c r="M238">
        <v>1381.81938454907</v>
      </c>
      <c r="N238">
        <v>2.6762353141989998</v>
      </c>
      <c r="O238">
        <v>45.540146827939303</v>
      </c>
      <c r="P238">
        <v>14.190393085648701</v>
      </c>
      <c r="Q238">
        <v>12.421318766701001</v>
      </c>
      <c r="R238">
        <v>22763414</v>
      </c>
      <c r="S238">
        <v>3.189140581960212E-2</v>
      </c>
      <c r="U238">
        <v>3.66</v>
      </c>
      <c r="V238">
        <v>3.9381398999999999</v>
      </c>
      <c r="W238">
        <v>5.3331580000000001</v>
      </c>
      <c r="X238">
        <v>56.190269999999998</v>
      </c>
      <c r="Y238">
        <v>18.3</v>
      </c>
      <c r="Z238">
        <v>17.297075862775301</v>
      </c>
      <c r="AJ238">
        <v>-0.99832797050476074</v>
      </c>
      <c r="AK238">
        <v>-0.93666219711303711</v>
      </c>
      <c r="AL238">
        <v>0.1095658</v>
      </c>
      <c r="AM238">
        <f>VLOOKUP(D238,[1]Sheet1!$C$1:$D$191,2,FALSE)</f>
        <v>29</v>
      </c>
    </row>
    <row r="239" spans="1:39" x14ac:dyDescent="0.35">
      <c r="A239">
        <v>2016</v>
      </c>
      <c r="B239" t="s">
        <v>32</v>
      </c>
      <c r="C239">
        <v>29</v>
      </c>
      <c r="D239" t="s">
        <v>236</v>
      </c>
      <c r="E239">
        <v>20953.267785371601</v>
      </c>
      <c r="F239">
        <v>376025</v>
      </c>
      <c r="G239">
        <v>396978.26778537163</v>
      </c>
      <c r="H239">
        <v>33671222913.4548</v>
      </c>
      <c r="I239">
        <v>33814337044.376499</v>
      </c>
      <c r="J239">
        <v>4.5357942367880891E-2</v>
      </c>
      <c r="K239">
        <v>1435.6183072783899</v>
      </c>
      <c r="L239">
        <v>1.4571172266965519E-2</v>
      </c>
      <c r="M239">
        <v>1415.00009710569</v>
      </c>
      <c r="N239">
        <v>0.87419038328885601</v>
      </c>
      <c r="O239">
        <v>40.638631526826799</v>
      </c>
      <c r="P239">
        <v>14.3706640485152</v>
      </c>
      <c r="Q239">
        <v>11.9000531275541</v>
      </c>
      <c r="R239">
        <v>23454161</v>
      </c>
      <c r="S239">
        <v>3.0344613510082451E-2</v>
      </c>
      <c r="U239">
        <v>3.46</v>
      </c>
      <c r="V239">
        <v>4.2868870000000001</v>
      </c>
      <c r="W239">
        <v>4.3548850000000003</v>
      </c>
      <c r="X239">
        <v>60.52572</v>
      </c>
      <c r="Y239">
        <v>20.6</v>
      </c>
      <c r="Z239">
        <v>12.7046554004596</v>
      </c>
      <c r="AJ239">
        <v>-1.059063792228699</v>
      </c>
      <c r="AK239">
        <v>-0.80930405855178833</v>
      </c>
      <c r="AL239">
        <v>0.15258117500000001</v>
      </c>
      <c r="AM239">
        <f>VLOOKUP(D239,[1]Sheet1!$C$1:$D$191,2,FALSE)</f>
        <v>29</v>
      </c>
    </row>
    <row r="240" spans="1:39" x14ac:dyDescent="0.35">
      <c r="A240">
        <v>2017</v>
      </c>
      <c r="B240" t="s">
        <v>32</v>
      </c>
      <c r="C240">
        <v>29</v>
      </c>
      <c r="D240" t="s">
        <v>236</v>
      </c>
      <c r="E240">
        <v>172232</v>
      </c>
      <c r="F240">
        <v>4731225.63</v>
      </c>
      <c r="G240">
        <v>4910345.63</v>
      </c>
      <c r="H240">
        <v>34863580363.115097</v>
      </c>
      <c r="I240">
        <v>36098547033.165497</v>
      </c>
      <c r="J240">
        <v>3.5411765492599293E-2</v>
      </c>
      <c r="K240">
        <v>1444.90682916573</v>
      </c>
      <c r="L240">
        <v>6.4700497620074184E-3</v>
      </c>
      <c r="M240">
        <v>1435.6183072783899</v>
      </c>
      <c r="N240">
        <v>0.64040914988194997</v>
      </c>
      <c r="O240">
        <v>39.199021605262899</v>
      </c>
      <c r="P240">
        <v>14.0633461453046</v>
      </c>
      <c r="Q240">
        <v>10.5272373062848</v>
      </c>
      <c r="R240">
        <v>24128601</v>
      </c>
      <c r="S240">
        <v>2.8755665146154664E-2</v>
      </c>
      <c r="U240">
        <v>3.61</v>
      </c>
      <c r="V240">
        <v>4.3746988</v>
      </c>
      <c r="W240">
        <v>4.4533170000000002</v>
      </c>
      <c r="X240">
        <v>55.782910000000001</v>
      </c>
      <c r="Y240">
        <v>23.202999999999999</v>
      </c>
      <c r="Z240">
        <v>12.981816181393601</v>
      </c>
      <c r="AJ240">
        <v>-1.0512959957122801</v>
      </c>
      <c r="AK240">
        <v>-0.84645187854766846</v>
      </c>
      <c r="AL240">
        <v>0.114605475</v>
      </c>
      <c r="AM240">
        <f>VLOOKUP(D240,[1]Sheet1!$C$1:$D$191,2,FALSE)</f>
        <v>29</v>
      </c>
    </row>
    <row r="241" spans="1:39" x14ac:dyDescent="0.35">
      <c r="A241">
        <v>2018</v>
      </c>
      <c r="B241" t="s">
        <v>32</v>
      </c>
      <c r="C241">
        <v>29</v>
      </c>
      <c r="D241" t="s">
        <v>236</v>
      </c>
      <c r="E241">
        <v>88501.86</v>
      </c>
      <c r="F241">
        <v>9928885.3999999985</v>
      </c>
      <c r="G241">
        <v>10017387.259999998</v>
      </c>
      <c r="H241">
        <v>36242614248.5756</v>
      </c>
      <c r="I241">
        <v>39955552189.794998</v>
      </c>
      <c r="J241">
        <v>3.9555142389204816E-2</v>
      </c>
      <c r="K241">
        <v>1461.01969999317</v>
      </c>
      <c r="L241">
        <v>1.1151494686161445E-2</v>
      </c>
      <c r="M241">
        <v>1444.90682916573</v>
      </c>
      <c r="N241">
        <v>1.0688581131292001</v>
      </c>
      <c r="O241">
        <v>40.587602877027997</v>
      </c>
      <c r="P241">
        <v>14.6820776289898</v>
      </c>
      <c r="Q241">
        <v>11.367382512434</v>
      </c>
      <c r="R241">
        <v>24806383</v>
      </c>
      <c r="S241">
        <v>2.8090397781454467E-2</v>
      </c>
      <c r="U241">
        <v>3.28</v>
      </c>
      <c r="V241">
        <v>4.8112247999999997</v>
      </c>
      <c r="W241">
        <v>4.3091660000000003</v>
      </c>
      <c r="X241">
        <v>53.615450000000003</v>
      </c>
      <c r="Y241">
        <v>29.7</v>
      </c>
      <c r="Z241">
        <v>14.5449548868213</v>
      </c>
      <c r="AJ241">
        <v>-1.103055477142334</v>
      </c>
      <c r="AK241">
        <v>-0.81261986494064331</v>
      </c>
      <c r="AL241">
        <v>1.4055150000000001E-2</v>
      </c>
      <c r="AM241">
        <f>VLOOKUP(D241,[1]Sheet1!$C$1:$D$191,2,FALSE)</f>
        <v>29</v>
      </c>
    </row>
    <row r="242" spans="1:39" x14ac:dyDescent="0.35">
      <c r="A242">
        <v>2019</v>
      </c>
      <c r="B242" t="s">
        <v>32</v>
      </c>
      <c r="C242">
        <v>29</v>
      </c>
      <c r="D242" t="s">
        <v>236</v>
      </c>
      <c r="E242">
        <v>814584.24459776992</v>
      </c>
      <c r="F242">
        <v>165625</v>
      </c>
      <c r="G242">
        <v>980209.24459776992</v>
      </c>
      <c r="H242">
        <v>37502066832.740303</v>
      </c>
      <c r="I242">
        <v>39667757527.657799</v>
      </c>
      <c r="J242">
        <v>3.4750599819498455E-2</v>
      </c>
      <c r="K242">
        <v>1470.31785276187</v>
      </c>
      <c r="L242">
        <v>6.3641529054970719E-3</v>
      </c>
      <c r="M242">
        <v>1461.01969999317</v>
      </c>
      <c r="N242">
        <v>2.4528021406273202</v>
      </c>
      <c r="O242">
        <v>43.3785132480415</v>
      </c>
      <c r="P242">
        <v>14.091092875124399</v>
      </c>
      <c r="Q242">
        <v>12.3229207514112</v>
      </c>
      <c r="R242">
        <v>25506095</v>
      </c>
      <c r="S242">
        <v>2.8206933675094834E-2</v>
      </c>
      <c r="U242">
        <v>2.85</v>
      </c>
      <c r="V242">
        <v>4.6062253999999996</v>
      </c>
      <c r="W242">
        <v>3.7292550000000002</v>
      </c>
      <c r="X242">
        <v>60.566940000000002</v>
      </c>
      <c r="Y242">
        <v>36.539200000000001</v>
      </c>
      <c r="Z242">
        <v>15.052861413146299</v>
      </c>
      <c r="AJ242">
        <v>-1.1414579153060911</v>
      </c>
      <c r="AK242">
        <v>-0.84717875719070435</v>
      </c>
      <c r="AL242">
        <v>5.6454450000000003E-2</v>
      </c>
      <c r="AM242">
        <f>VLOOKUP(D242,[1]Sheet1!$C$1:$D$191,2,FALSE)</f>
        <v>29</v>
      </c>
    </row>
    <row r="243" spans="1:39" x14ac:dyDescent="0.35">
      <c r="A243">
        <v>2020</v>
      </c>
      <c r="B243" t="s">
        <v>32</v>
      </c>
      <c r="C243">
        <v>29</v>
      </c>
      <c r="D243" t="s">
        <v>236</v>
      </c>
      <c r="E243">
        <v>137881.34117542001</v>
      </c>
      <c r="F243">
        <v>136625</v>
      </c>
      <c r="G243">
        <v>274506.34117541998</v>
      </c>
      <c r="H243">
        <v>37599547048.584099</v>
      </c>
      <c r="I243">
        <v>40773241177.050499</v>
      </c>
      <c r="J243">
        <v>2.599329159071653E-3</v>
      </c>
      <c r="K243">
        <v>1434.5191372340901</v>
      </c>
      <c r="L243">
        <v>-2.4347603112167202E-2</v>
      </c>
      <c r="M243">
        <v>1470.31785276187</v>
      </c>
      <c r="N243">
        <v>2.4376088218223599</v>
      </c>
      <c r="O243">
        <v>33.738831362387103</v>
      </c>
      <c r="Q243">
        <v>12.0602939460197</v>
      </c>
      <c r="R243">
        <v>26210558</v>
      </c>
      <c r="S243">
        <v>2.7619398422220259E-2</v>
      </c>
      <c r="U243">
        <v>2.77</v>
      </c>
      <c r="V243">
        <v>5.0391329000000002</v>
      </c>
      <c r="W243">
        <v>3.1396220000000001</v>
      </c>
      <c r="X243">
        <v>76.479140000000001</v>
      </c>
      <c r="Y243">
        <v>41.226399999999998</v>
      </c>
      <c r="Z243">
        <v>15.5519566247682</v>
      </c>
      <c r="AJ243">
        <v>-1.167671322822571</v>
      </c>
      <c r="AK243">
        <v>-0.83019936084747314</v>
      </c>
      <c r="AL243">
        <v>9.4163949999999996E-2</v>
      </c>
      <c r="AM243">
        <f>VLOOKUP(D243,[1]Sheet1!$C$1:$D$191,2,FALSE)</f>
        <v>29</v>
      </c>
    </row>
    <row r="244" spans="1:39" x14ac:dyDescent="0.35">
      <c r="A244">
        <v>2013</v>
      </c>
      <c r="B244" t="s">
        <v>33</v>
      </c>
      <c r="C244">
        <v>30</v>
      </c>
      <c r="D244" t="s">
        <v>237</v>
      </c>
      <c r="E244">
        <v>36116608</v>
      </c>
      <c r="F244">
        <v>8137178</v>
      </c>
      <c r="G244">
        <v>44253786</v>
      </c>
      <c r="H244">
        <v>1503261570659.6299</v>
      </c>
      <c r="I244">
        <v>1846597421834.98</v>
      </c>
      <c r="J244">
        <v>2.3258135739343388E-2</v>
      </c>
      <c r="K244">
        <v>42851.170533023498</v>
      </c>
      <c r="L244">
        <v>1.2535901290463759E-2</v>
      </c>
      <c r="M244">
        <v>42320.643128219199</v>
      </c>
      <c r="N244">
        <v>0.93829189781531697</v>
      </c>
      <c r="O244">
        <v>62.231074901340499</v>
      </c>
      <c r="Q244">
        <v>17.084882157908901</v>
      </c>
      <c r="R244">
        <v>35080992</v>
      </c>
      <c r="S244">
        <v>1.0589485701412956E-2</v>
      </c>
      <c r="T244">
        <v>46.850999999999999</v>
      </c>
      <c r="U244">
        <v>9.08</v>
      </c>
      <c r="V244">
        <v>221.00573</v>
      </c>
      <c r="W244">
        <v>1.7851809999999999</v>
      </c>
      <c r="X244">
        <v>60.291580000000003</v>
      </c>
      <c r="Y244">
        <v>85.8</v>
      </c>
      <c r="Z244">
        <v>65.747718811035199</v>
      </c>
      <c r="AF244">
        <v>1</v>
      </c>
      <c r="AJ244">
        <v>1.747507572174072</v>
      </c>
      <c r="AK244">
        <v>1.7298909425735469</v>
      </c>
      <c r="AL244">
        <v>3.6061849999999999E-2</v>
      </c>
      <c r="AM244">
        <f>VLOOKUP(D244,[1]Sheet1!$C$1:$D$191,2,FALSE)</f>
        <v>30</v>
      </c>
    </row>
    <row r="245" spans="1:39" x14ac:dyDescent="0.35">
      <c r="A245">
        <v>2014</v>
      </c>
      <c r="B245" t="s">
        <v>33</v>
      </c>
      <c r="C245">
        <v>30</v>
      </c>
      <c r="D245" t="s">
        <v>237</v>
      </c>
      <c r="E245">
        <v>69678204</v>
      </c>
      <c r="F245">
        <v>18134944</v>
      </c>
      <c r="G245">
        <v>87813148</v>
      </c>
      <c r="H245">
        <v>1546457292386.53</v>
      </c>
      <c r="I245">
        <v>1805749878439.9399</v>
      </c>
      <c r="J245">
        <v>2.8734667718503509E-2</v>
      </c>
      <c r="K245">
        <v>43643.235647484798</v>
      </c>
      <c r="L245">
        <v>1.8484095174270462E-2</v>
      </c>
      <c r="M245">
        <v>42851.170533023498</v>
      </c>
      <c r="N245">
        <v>1.9066359071786101</v>
      </c>
      <c r="O245">
        <v>64.378662156492297</v>
      </c>
      <c r="Q245">
        <v>16.4020498301416</v>
      </c>
      <c r="R245">
        <v>35434066</v>
      </c>
      <c r="S245">
        <v>1.0064538653867028E-2</v>
      </c>
      <c r="T245">
        <v>45.978000000000002</v>
      </c>
      <c r="U245">
        <v>9.08</v>
      </c>
      <c r="V245">
        <v>221.85439</v>
      </c>
      <c r="W245">
        <v>1.7169399999999999</v>
      </c>
      <c r="X245">
        <v>60.919960000000003</v>
      </c>
      <c r="Y245">
        <v>87.12</v>
      </c>
      <c r="Z245">
        <v>67.167701721191406</v>
      </c>
      <c r="AF245">
        <v>1</v>
      </c>
      <c r="AJ245">
        <v>1.886297225952148</v>
      </c>
      <c r="AK245">
        <v>1.838725328445435</v>
      </c>
      <c r="AL245">
        <v>1.1104275E-2</v>
      </c>
      <c r="AM245">
        <f>VLOOKUP(D245,[1]Sheet1!$C$1:$D$191,2,FALSE)</f>
        <v>30</v>
      </c>
    </row>
    <row r="246" spans="1:39" x14ac:dyDescent="0.35">
      <c r="A246">
        <v>2015</v>
      </c>
      <c r="B246" t="s">
        <v>33</v>
      </c>
      <c r="C246">
        <v>30</v>
      </c>
      <c r="D246" t="s">
        <v>237</v>
      </c>
      <c r="E246">
        <v>123646051</v>
      </c>
      <c r="F246">
        <v>86066115</v>
      </c>
      <c r="G246">
        <v>209712166</v>
      </c>
      <c r="H246">
        <v>1556508816217.1399</v>
      </c>
      <c r="I246">
        <v>1556508816217.1399</v>
      </c>
      <c r="J246">
        <v>6.4997099370898955E-3</v>
      </c>
      <c r="K246">
        <v>43594.194104539398</v>
      </c>
      <c r="L246">
        <v>-1.1236917294931796E-3</v>
      </c>
      <c r="M246">
        <v>43643.235647484798</v>
      </c>
      <c r="N246">
        <v>1.1252413609427701</v>
      </c>
      <c r="O246">
        <v>66.164902066978101</v>
      </c>
      <c r="Q246">
        <v>17.059778682322801</v>
      </c>
      <c r="R246">
        <v>35704498</v>
      </c>
      <c r="S246">
        <v>7.6319776567555075E-3</v>
      </c>
      <c r="T246">
        <v>45.430999999999997</v>
      </c>
      <c r="U246">
        <v>9.08</v>
      </c>
      <c r="V246">
        <v>221.49144000000001</v>
      </c>
      <c r="W246">
        <v>1.6263030000000001</v>
      </c>
      <c r="X246">
        <v>61.151539999999997</v>
      </c>
      <c r="Y246">
        <v>90</v>
      </c>
      <c r="Z246">
        <v>67.269096374511705</v>
      </c>
      <c r="AF246">
        <v>1</v>
      </c>
      <c r="AJ246">
        <v>1.8071414232254031</v>
      </c>
      <c r="AK246">
        <v>1.706058025360107</v>
      </c>
      <c r="AL246">
        <v>6.1205124999999999E-2</v>
      </c>
      <c r="AM246">
        <f>VLOOKUP(D246,[1]Sheet1!$C$1:$D$191,2,FALSE)</f>
        <v>30</v>
      </c>
    </row>
    <row r="247" spans="1:39" x14ac:dyDescent="0.35">
      <c r="A247">
        <v>2016</v>
      </c>
      <c r="B247" t="s">
        <v>33</v>
      </c>
      <c r="C247">
        <v>30</v>
      </c>
      <c r="D247" t="s">
        <v>237</v>
      </c>
      <c r="E247">
        <v>173697570.85446939</v>
      </c>
      <c r="F247">
        <v>160800000</v>
      </c>
      <c r="G247">
        <v>334497570.85446942</v>
      </c>
      <c r="H247">
        <v>1572673953080.04</v>
      </c>
      <c r="I247">
        <v>1527994741907.4299</v>
      </c>
      <c r="J247">
        <v>1.0385509349177395E-2</v>
      </c>
      <c r="K247">
        <v>43551.342601825898</v>
      </c>
      <c r="L247">
        <v>-9.8296352515983045E-4</v>
      </c>
      <c r="M247">
        <v>43594.194104539398</v>
      </c>
      <c r="N247">
        <v>1.4287595470108501</v>
      </c>
      <c r="O247">
        <v>65.363684521555598</v>
      </c>
      <c r="Q247">
        <v>17.498604071126</v>
      </c>
      <c r="R247">
        <v>36110803</v>
      </c>
      <c r="S247">
        <v>1.1379658663734749E-2</v>
      </c>
      <c r="T247">
        <v>44.823</v>
      </c>
      <c r="U247">
        <v>9.15</v>
      </c>
      <c r="V247">
        <v>223.88775999999999</v>
      </c>
      <c r="W247">
        <v>1.707711</v>
      </c>
      <c r="X247">
        <v>61.468789999999998</v>
      </c>
      <c r="Y247">
        <v>91.16</v>
      </c>
      <c r="Z247">
        <v>69.245941162109403</v>
      </c>
      <c r="AF247">
        <v>1</v>
      </c>
      <c r="AJ247">
        <v>1.8009147644042971</v>
      </c>
      <c r="AK247">
        <v>1.727414131164551</v>
      </c>
      <c r="AL247">
        <v>3.7583274999999999E-2</v>
      </c>
      <c r="AM247">
        <f>VLOOKUP(D247,[1]Sheet1!$C$1:$D$191,2,FALSE)</f>
        <v>30</v>
      </c>
    </row>
    <row r="248" spans="1:39" x14ac:dyDescent="0.35">
      <c r="A248">
        <v>2017</v>
      </c>
      <c r="B248" t="s">
        <v>33</v>
      </c>
      <c r="C248">
        <v>30</v>
      </c>
      <c r="D248" t="s">
        <v>237</v>
      </c>
      <c r="E248">
        <v>136857393.99315</v>
      </c>
      <c r="F248">
        <v>730720155.42700005</v>
      </c>
      <c r="G248">
        <v>867577549.42015004</v>
      </c>
      <c r="H248">
        <v>1620386284372.8101</v>
      </c>
      <c r="I248">
        <v>1649265644244.0901</v>
      </c>
      <c r="J248">
        <v>3.0338349026081783E-2</v>
      </c>
      <c r="K248">
        <v>44339.388669275097</v>
      </c>
      <c r="L248">
        <v>1.8094644627928411E-2</v>
      </c>
      <c r="M248">
        <v>43551.342601825898</v>
      </c>
      <c r="N248">
        <v>1.5968841285297699</v>
      </c>
      <c r="O248">
        <v>65.101060850464904</v>
      </c>
      <c r="Q248">
        <v>17.606595407637201</v>
      </c>
      <c r="R248">
        <v>36545075</v>
      </c>
      <c r="S248">
        <v>1.202609645650915E-2</v>
      </c>
      <c r="T248">
        <v>44.951000000000001</v>
      </c>
      <c r="U248">
        <v>9.15</v>
      </c>
      <c r="V248">
        <v>228.41721000000001</v>
      </c>
      <c r="W248">
        <v>1.747034</v>
      </c>
      <c r="X248">
        <v>60.942880000000002</v>
      </c>
      <c r="Y248">
        <v>92.701400000000007</v>
      </c>
      <c r="Z248">
        <v>70.268707275390597</v>
      </c>
      <c r="AF248">
        <v>1</v>
      </c>
      <c r="AI248">
        <v>1</v>
      </c>
      <c r="AJ248">
        <v>1.763439297676086</v>
      </c>
      <c r="AK248">
        <v>1.8796559572219851</v>
      </c>
      <c r="AL248">
        <v>8.4525924999999988E-2</v>
      </c>
      <c r="AM248">
        <f>VLOOKUP(D248,[1]Sheet1!$C$1:$D$191,2,FALSE)</f>
        <v>30</v>
      </c>
    </row>
    <row r="249" spans="1:39" x14ac:dyDescent="0.35">
      <c r="A249">
        <v>2018</v>
      </c>
      <c r="B249" t="s">
        <v>33</v>
      </c>
      <c r="C249">
        <v>30</v>
      </c>
      <c r="D249" t="s">
        <v>237</v>
      </c>
      <c r="E249">
        <v>202457727.9685736</v>
      </c>
      <c r="F249">
        <v>705694401.01716805</v>
      </c>
      <c r="G249">
        <v>908152128.98574162</v>
      </c>
      <c r="H249">
        <v>1664832887596.1299</v>
      </c>
      <c r="I249">
        <v>1725329192783.02</v>
      </c>
      <c r="J249">
        <v>2.7429634311255242E-2</v>
      </c>
      <c r="K249">
        <v>44907.343683724801</v>
      </c>
      <c r="L249">
        <v>1.2809265790425023E-2</v>
      </c>
      <c r="M249">
        <v>44339.388669275097</v>
      </c>
      <c r="N249">
        <v>2.2682256724810301</v>
      </c>
      <c r="O249">
        <v>66.599885850876205</v>
      </c>
      <c r="Q249">
        <v>17.540900454091702</v>
      </c>
      <c r="R249">
        <v>37072620</v>
      </c>
      <c r="S249">
        <v>1.4435460865793818E-2</v>
      </c>
      <c r="T249">
        <v>44.393000000000001</v>
      </c>
      <c r="U249">
        <v>9.15</v>
      </c>
      <c r="V249">
        <v>219.96448000000001</v>
      </c>
      <c r="W249">
        <v>1.724566</v>
      </c>
      <c r="X249">
        <v>61.42474</v>
      </c>
      <c r="Y249">
        <v>94.64</v>
      </c>
      <c r="Z249">
        <v>69.350723266601605</v>
      </c>
      <c r="AF249">
        <v>1</v>
      </c>
      <c r="AI249">
        <v>1</v>
      </c>
      <c r="AJ249">
        <v>1.715141654014587</v>
      </c>
      <c r="AK249">
        <v>1.6994198560714719</v>
      </c>
      <c r="AL249">
        <v>6.0310549999999997E-2</v>
      </c>
      <c r="AM249">
        <f>VLOOKUP(D249,[1]Sheet1!$C$1:$D$191,2,FALSE)</f>
        <v>30</v>
      </c>
    </row>
    <row r="250" spans="1:39" x14ac:dyDescent="0.35">
      <c r="A250">
        <v>2019</v>
      </c>
      <c r="B250" t="s">
        <v>33</v>
      </c>
      <c r="C250">
        <v>30</v>
      </c>
      <c r="D250" t="s">
        <v>237</v>
      </c>
      <c r="E250">
        <v>127744167.55753841</v>
      </c>
      <c r="F250">
        <v>226333148.5904052</v>
      </c>
      <c r="G250">
        <v>354077316.14794356</v>
      </c>
      <c r="H250">
        <v>1696605089927.3799</v>
      </c>
      <c r="I250">
        <v>1743725183672.52</v>
      </c>
      <c r="J250">
        <v>1.908431925388393E-2</v>
      </c>
      <c r="K250">
        <v>45100.291490326199</v>
      </c>
      <c r="L250">
        <v>4.2965758108584294E-3</v>
      </c>
      <c r="M250">
        <v>44907.343683724801</v>
      </c>
      <c r="N250">
        <v>1.9492690241159301</v>
      </c>
      <c r="O250">
        <v>66.171485280495901</v>
      </c>
      <c r="Q250">
        <v>18.105709678102599</v>
      </c>
      <c r="R250">
        <v>37618495</v>
      </c>
      <c r="S250">
        <v>1.4724478604425583E-2</v>
      </c>
      <c r="T250">
        <v>44.548000000000002</v>
      </c>
      <c r="U250">
        <v>9.2200000000000006</v>
      </c>
      <c r="V250">
        <v>214.07594</v>
      </c>
      <c r="W250">
        <v>1.7506219999999999</v>
      </c>
      <c r="X250">
        <v>61.00123</v>
      </c>
      <c r="Y250">
        <v>91.912899999999993</v>
      </c>
      <c r="Z250">
        <v>73.112876892089801</v>
      </c>
      <c r="AF250">
        <v>1</v>
      </c>
      <c r="AI250">
        <v>1</v>
      </c>
      <c r="AJ250">
        <v>1.7197761535644529</v>
      </c>
      <c r="AK250">
        <v>1.7100024223327639</v>
      </c>
      <c r="AL250">
        <v>0.14237687500000001</v>
      </c>
      <c r="AM250">
        <f>VLOOKUP(D250,[1]Sheet1!$C$1:$D$191,2,FALSE)</f>
        <v>30</v>
      </c>
    </row>
    <row r="251" spans="1:39" x14ac:dyDescent="0.35">
      <c r="A251">
        <v>2020</v>
      </c>
      <c r="B251" t="s">
        <v>33</v>
      </c>
      <c r="C251">
        <v>30</v>
      </c>
      <c r="D251" t="s">
        <v>237</v>
      </c>
      <c r="E251">
        <v>171147159.27168971</v>
      </c>
      <c r="F251">
        <v>169671567.87875429</v>
      </c>
      <c r="G251">
        <v>340818727.15044397</v>
      </c>
      <c r="H251">
        <v>1611126164920.1399</v>
      </c>
      <c r="I251">
        <v>1655684730000.1899</v>
      </c>
      <c r="J251">
        <v>-5.0382334412835433E-2</v>
      </c>
      <c r="K251">
        <v>42366.128519252699</v>
      </c>
      <c r="L251">
        <v>-6.0624064295902939E-2</v>
      </c>
      <c r="M251">
        <v>45100.291490326199</v>
      </c>
      <c r="N251">
        <v>0.71699963230782704</v>
      </c>
      <c r="O251">
        <v>61.156770963276301</v>
      </c>
      <c r="Q251">
        <v>28.571473605803298</v>
      </c>
      <c r="R251">
        <v>38028638</v>
      </c>
      <c r="S251">
        <v>1.0902695602256283E-2</v>
      </c>
      <c r="T251">
        <v>42.055</v>
      </c>
      <c r="U251">
        <v>9.24</v>
      </c>
      <c r="V251">
        <v>210.05571</v>
      </c>
      <c r="W251">
        <v>1.6654409999999999</v>
      </c>
      <c r="X251">
        <v>60.973559999999999</v>
      </c>
      <c r="Y251">
        <v>92.3</v>
      </c>
      <c r="Z251">
        <v>75.238906860351605</v>
      </c>
      <c r="AF251">
        <v>1</v>
      </c>
      <c r="AI251">
        <v>1</v>
      </c>
      <c r="AJ251">
        <v>1.619103312492371</v>
      </c>
      <c r="AK251">
        <v>1.592589735984802</v>
      </c>
      <c r="AL251">
        <v>0.125781175</v>
      </c>
      <c r="AM251">
        <f>VLOOKUP(D251,[1]Sheet1!$C$1:$D$191,2,FALSE)</f>
        <v>30</v>
      </c>
    </row>
    <row r="252" spans="1:39" x14ac:dyDescent="0.35">
      <c r="A252">
        <v>2013</v>
      </c>
      <c r="B252" t="s">
        <v>34</v>
      </c>
      <c r="C252">
        <v>31</v>
      </c>
      <c r="D252" t="s">
        <v>238</v>
      </c>
      <c r="E252">
        <v>74197</v>
      </c>
      <c r="F252">
        <v>11726000</v>
      </c>
      <c r="G252">
        <v>11800197</v>
      </c>
      <c r="H252">
        <v>233163076989.91101</v>
      </c>
      <c r="I252">
        <v>277395018837.36603</v>
      </c>
      <c r="J252">
        <v>3.3085082446914028E-2</v>
      </c>
      <c r="K252">
        <v>13182.7329616958</v>
      </c>
      <c r="L252">
        <v>2.3278925585954614E-2</v>
      </c>
      <c r="M252">
        <v>12882.834417944299</v>
      </c>
      <c r="N252">
        <v>1.7895555398459</v>
      </c>
      <c r="O252">
        <v>65.143287953719593</v>
      </c>
      <c r="P252">
        <v>106.039690609015</v>
      </c>
      <c r="Q252">
        <v>20.196301204642101</v>
      </c>
      <c r="R252">
        <v>17687006</v>
      </c>
      <c r="S252">
        <v>9.5830732127568739E-3</v>
      </c>
      <c r="T252">
        <v>50.026000000000003</v>
      </c>
      <c r="U252">
        <v>7.8</v>
      </c>
      <c r="V252">
        <v>63.872311000000003</v>
      </c>
      <c r="W252">
        <v>4.2042060000000001</v>
      </c>
      <c r="X252">
        <v>94.224490000000003</v>
      </c>
      <c r="Y252">
        <v>58</v>
      </c>
      <c r="Z252">
        <v>79.870338439941406</v>
      </c>
      <c r="AA252">
        <v>2023</v>
      </c>
      <c r="AC252">
        <v>0</v>
      </c>
      <c r="AF252">
        <v>1</v>
      </c>
      <c r="AJ252">
        <v>1.2551378011703489</v>
      </c>
      <c r="AK252">
        <v>1.482871890068054</v>
      </c>
      <c r="AL252">
        <v>7.9977175000000011E-2</v>
      </c>
      <c r="AM252">
        <f>VLOOKUP(D252,[1]Sheet1!$C$1:$D$191,2,FALSE)</f>
        <v>31</v>
      </c>
    </row>
    <row r="253" spans="1:39" x14ac:dyDescent="0.35">
      <c r="A253">
        <v>2014</v>
      </c>
      <c r="B253" t="s">
        <v>34</v>
      </c>
      <c r="C253">
        <v>31</v>
      </c>
      <c r="D253" t="s">
        <v>238</v>
      </c>
      <c r="E253">
        <v>94197</v>
      </c>
      <c r="F253">
        <v>37338246</v>
      </c>
      <c r="G253">
        <v>37432443</v>
      </c>
      <c r="H253">
        <v>237342873662.242</v>
      </c>
      <c r="I253">
        <v>259560978231.552</v>
      </c>
      <c r="J253">
        <v>1.7926494736179237E-2</v>
      </c>
      <c r="K253">
        <v>13285.9540361176</v>
      </c>
      <c r="L253">
        <v>7.8300208857847338E-3</v>
      </c>
      <c r="M253">
        <v>13182.7329616958</v>
      </c>
      <c r="N253">
        <v>4.7186752785466304</v>
      </c>
      <c r="O253">
        <v>65.634628120340196</v>
      </c>
      <c r="P253">
        <v>109.059262769559</v>
      </c>
      <c r="Q253">
        <v>20.6752522596048</v>
      </c>
      <c r="R253">
        <v>17864195</v>
      </c>
      <c r="S253">
        <v>1.0018032447097038E-2</v>
      </c>
      <c r="T253">
        <v>50.564999999999998</v>
      </c>
      <c r="U253">
        <v>7.8</v>
      </c>
      <c r="V253">
        <v>56.628886999999999</v>
      </c>
      <c r="W253">
        <v>4.7511299999999999</v>
      </c>
      <c r="X253">
        <v>93.670609999999996</v>
      </c>
      <c r="Y253">
        <v>61.11</v>
      </c>
      <c r="Z253">
        <v>83.662979125976605</v>
      </c>
      <c r="AA253">
        <v>2023</v>
      </c>
      <c r="AC253">
        <v>0</v>
      </c>
      <c r="AF253">
        <v>1</v>
      </c>
      <c r="AJ253">
        <v>1.3487036228179929</v>
      </c>
      <c r="AK253">
        <v>1.484589576721191</v>
      </c>
      <c r="AL253">
        <v>4.5706375E-2</v>
      </c>
      <c r="AM253">
        <f>VLOOKUP(D253,[1]Sheet1!$C$1:$D$191,2,FALSE)</f>
        <v>31</v>
      </c>
    </row>
    <row r="254" spans="1:39" x14ac:dyDescent="0.35">
      <c r="A254">
        <v>2015</v>
      </c>
      <c r="B254" t="s">
        <v>34</v>
      </c>
      <c r="C254">
        <v>31</v>
      </c>
      <c r="D254" t="s">
        <v>238</v>
      </c>
      <c r="E254">
        <v>1073690</v>
      </c>
      <c r="F254">
        <v>46498231</v>
      </c>
      <c r="G254">
        <v>47571921</v>
      </c>
      <c r="H254">
        <v>242450355827.827</v>
      </c>
      <c r="I254">
        <v>242450355827.827</v>
      </c>
      <c r="J254">
        <v>2.1519424985362523E-2</v>
      </c>
      <c r="K254">
        <v>13433.9202985339</v>
      </c>
      <c r="L254">
        <v>1.1137044582124547E-2</v>
      </c>
      <c r="M254">
        <v>13285.9540361176</v>
      </c>
      <c r="N254">
        <v>4.3487735321705303</v>
      </c>
      <c r="O254">
        <v>59.349110478720497</v>
      </c>
      <c r="P254">
        <v>110.121398407654</v>
      </c>
      <c r="Q254">
        <v>21.634814883574599</v>
      </c>
      <c r="R254">
        <v>18047625</v>
      </c>
      <c r="S254">
        <v>1.026802495158612E-2</v>
      </c>
      <c r="T254">
        <v>50.33</v>
      </c>
      <c r="U254">
        <v>7.84</v>
      </c>
      <c r="V254">
        <v>55.879421000000001</v>
      </c>
      <c r="W254">
        <v>3.4030749999999999</v>
      </c>
      <c r="X254">
        <v>48.55059</v>
      </c>
      <c r="Y254">
        <v>76.629599999999996</v>
      </c>
      <c r="Z254">
        <v>86.418113708496094</v>
      </c>
      <c r="AA254">
        <v>2023</v>
      </c>
      <c r="AC254">
        <v>0</v>
      </c>
      <c r="AF254">
        <v>1</v>
      </c>
      <c r="AJ254">
        <v>1.219729065895081</v>
      </c>
      <c r="AK254">
        <v>1.3198426961898799</v>
      </c>
      <c r="AL254">
        <v>0.101478875</v>
      </c>
      <c r="AM254">
        <f>VLOOKUP(D254,[1]Sheet1!$C$1:$D$191,2,FALSE)</f>
        <v>31</v>
      </c>
    </row>
    <row r="255" spans="1:39" x14ac:dyDescent="0.35">
      <c r="A255">
        <v>2016</v>
      </c>
      <c r="B255" t="s">
        <v>34</v>
      </c>
      <c r="C255">
        <v>31</v>
      </c>
      <c r="D255" t="s">
        <v>238</v>
      </c>
      <c r="E255">
        <v>4864931.4967346136</v>
      </c>
      <c r="F255">
        <v>92896394</v>
      </c>
      <c r="G255">
        <v>97761325.496734619</v>
      </c>
      <c r="H255">
        <v>246700604504.172</v>
      </c>
      <c r="I255">
        <v>249344863933.461</v>
      </c>
      <c r="J255">
        <v>1.7530387455332343E-2</v>
      </c>
      <c r="K255">
        <v>13505.097710493101</v>
      </c>
      <c r="L255">
        <v>5.2983351380288353E-3</v>
      </c>
      <c r="M255">
        <v>13433.9202985339</v>
      </c>
      <c r="N255">
        <v>3.7861935589311799</v>
      </c>
      <c r="O255">
        <v>56.057861086939198</v>
      </c>
      <c r="P255">
        <v>111.312209230487</v>
      </c>
      <c r="Q255">
        <v>22.126863475841802</v>
      </c>
      <c r="R255">
        <v>18267221</v>
      </c>
      <c r="S255">
        <v>1.2167584377445785E-2</v>
      </c>
      <c r="T255">
        <v>49.661000000000001</v>
      </c>
      <c r="U255">
        <v>7.78</v>
      </c>
      <c r="V255">
        <v>53.229083000000003</v>
      </c>
      <c r="W255">
        <v>3.4908410000000001</v>
      </c>
      <c r="X255">
        <v>48.968719999999998</v>
      </c>
      <c r="Y255">
        <v>83.558599999999998</v>
      </c>
      <c r="Z255">
        <v>88.845886230468807</v>
      </c>
      <c r="AA255">
        <v>2023</v>
      </c>
      <c r="AC255">
        <v>0</v>
      </c>
      <c r="AF255">
        <v>1</v>
      </c>
      <c r="AJ255">
        <v>0.96039354801177979</v>
      </c>
      <c r="AK255">
        <v>1.3639082908630371</v>
      </c>
      <c r="AL255">
        <v>8.269517500000001E-2</v>
      </c>
      <c r="AM255">
        <f>VLOOKUP(D255,[1]Sheet1!$C$1:$D$191,2,FALSE)</f>
        <v>31</v>
      </c>
    </row>
    <row r="256" spans="1:39" x14ac:dyDescent="0.35">
      <c r="A256">
        <v>2017</v>
      </c>
      <c r="B256" t="s">
        <v>34</v>
      </c>
      <c r="C256">
        <v>31</v>
      </c>
      <c r="D256" t="s">
        <v>238</v>
      </c>
      <c r="E256">
        <v>7299823.8963500001</v>
      </c>
      <c r="F256">
        <v>143395439.54800001</v>
      </c>
      <c r="G256">
        <v>150695263.44435</v>
      </c>
      <c r="H256">
        <v>250050047208.95401</v>
      </c>
      <c r="I256">
        <v>276154259987.10303</v>
      </c>
      <c r="J256">
        <v>1.3576953779719538E-2</v>
      </c>
      <c r="K256">
        <v>13473.3458532575</v>
      </c>
      <c r="L256">
        <v>-2.3511016296409249E-3</v>
      </c>
      <c r="M256">
        <v>13505.097710493101</v>
      </c>
      <c r="N256">
        <v>2.1827184686851901</v>
      </c>
      <c r="O256">
        <v>56.026158966575203</v>
      </c>
      <c r="P256">
        <v>113.584914654946</v>
      </c>
      <c r="Q256">
        <v>22.347256473216898</v>
      </c>
      <c r="R256">
        <v>18558868</v>
      </c>
      <c r="S256">
        <v>1.5965592139056073E-2</v>
      </c>
      <c r="T256">
        <v>49.822000000000003</v>
      </c>
      <c r="U256">
        <v>7.84</v>
      </c>
      <c r="V256">
        <v>51.598039999999997</v>
      </c>
      <c r="W256">
        <v>3.4386640000000002</v>
      </c>
      <c r="X256">
        <v>48.897080000000003</v>
      </c>
      <c r="Y256">
        <v>82.327500000000001</v>
      </c>
      <c r="Z256">
        <v>89.921989440917997</v>
      </c>
      <c r="AA256">
        <v>2023</v>
      </c>
      <c r="AC256">
        <v>0</v>
      </c>
      <c r="AF256">
        <v>1</v>
      </c>
      <c r="AJ256">
        <v>0.98147547245025635</v>
      </c>
      <c r="AK256">
        <v>1.3254991769790649</v>
      </c>
      <c r="AL256">
        <v>6.1890725000000008E-2</v>
      </c>
      <c r="AM256">
        <f>VLOOKUP(D256,[1]Sheet1!$C$1:$D$191,2,FALSE)</f>
        <v>31</v>
      </c>
    </row>
    <row r="257" spans="1:39" x14ac:dyDescent="0.35">
      <c r="A257">
        <v>2018</v>
      </c>
      <c r="B257" t="s">
        <v>34</v>
      </c>
      <c r="C257">
        <v>31</v>
      </c>
      <c r="D257" t="s">
        <v>238</v>
      </c>
      <c r="E257">
        <v>3074187.8034999999</v>
      </c>
      <c r="F257">
        <v>286181274.00586098</v>
      </c>
      <c r="G257">
        <v>289255461.80936104</v>
      </c>
      <c r="H257">
        <v>260027117795.38501</v>
      </c>
      <c r="I257">
        <v>295857562991.70898</v>
      </c>
      <c r="J257">
        <v>3.9900294752168844E-2</v>
      </c>
      <c r="K257">
        <v>13763.006884087699</v>
      </c>
      <c r="L257">
        <v>2.1498819520035285E-2</v>
      </c>
      <c r="M257">
        <v>13473.3458532575</v>
      </c>
      <c r="N257">
        <v>2.4348898135305701</v>
      </c>
      <c r="O257">
        <v>58.177050633173103</v>
      </c>
      <c r="P257">
        <v>118.194230900802</v>
      </c>
      <c r="Q257">
        <v>22.617987009152301</v>
      </c>
      <c r="R257">
        <v>18893191</v>
      </c>
      <c r="S257">
        <v>1.801419138279339E-2</v>
      </c>
      <c r="T257">
        <v>49.433</v>
      </c>
      <c r="U257">
        <v>7.97</v>
      </c>
      <c r="V257">
        <v>49.689193000000003</v>
      </c>
      <c r="W257">
        <v>3.198375</v>
      </c>
      <c r="X257">
        <v>49.56129</v>
      </c>
      <c r="Y257">
        <v>84.9</v>
      </c>
      <c r="Z257">
        <v>91.197479248046903</v>
      </c>
      <c r="AA257">
        <v>2023</v>
      </c>
      <c r="AC257">
        <v>0</v>
      </c>
      <c r="AF257">
        <v>1</v>
      </c>
      <c r="AJ257">
        <v>0.94026052951812744</v>
      </c>
      <c r="AK257">
        <v>1.300452351570129</v>
      </c>
      <c r="AL257">
        <v>8.2589024999999996E-2</v>
      </c>
      <c r="AM257">
        <f>VLOOKUP(D257,[1]Sheet1!$C$1:$D$191,2,FALSE)</f>
        <v>31</v>
      </c>
    </row>
    <row r="258" spans="1:39" x14ac:dyDescent="0.35">
      <c r="A258">
        <v>2019</v>
      </c>
      <c r="B258" t="s">
        <v>34</v>
      </c>
      <c r="C258">
        <v>31</v>
      </c>
      <c r="D258" t="s">
        <v>238</v>
      </c>
      <c r="E258">
        <v>2473811.535424639</v>
      </c>
      <c r="F258">
        <v>586619527.01916647</v>
      </c>
      <c r="G258">
        <v>589093338.55459106</v>
      </c>
      <c r="H258">
        <v>261676645409.828</v>
      </c>
      <c r="I258">
        <v>278285058719.466</v>
      </c>
      <c r="J258">
        <v>6.3436753382814645E-3</v>
      </c>
      <c r="K258">
        <v>13630.5935431699</v>
      </c>
      <c r="L258">
        <v>-9.6209601603041393E-3</v>
      </c>
      <c r="M258">
        <v>13763.006884087699</v>
      </c>
      <c r="N258">
        <v>2.5575447570332699</v>
      </c>
      <c r="O258">
        <v>57.611754568082901</v>
      </c>
      <c r="P258">
        <v>124.875809607498</v>
      </c>
      <c r="Q258">
        <v>23.3151987137799</v>
      </c>
      <c r="R258">
        <v>19197744</v>
      </c>
      <c r="S258">
        <v>1.6119722708567336E-2</v>
      </c>
      <c r="T258">
        <v>48.893999999999998</v>
      </c>
      <c r="U258">
        <v>8.08</v>
      </c>
      <c r="V258">
        <v>49.615028000000002</v>
      </c>
      <c r="W258">
        <v>3.3378619999999999</v>
      </c>
      <c r="X258">
        <v>50.296280000000003</v>
      </c>
      <c r="Y258">
        <v>85.017600000000002</v>
      </c>
      <c r="Z258">
        <v>92.065971374511705</v>
      </c>
      <c r="AA258">
        <v>2023</v>
      </c>
      <c r="AC258">
        <v>0</v>
      </c>
      <c r="AF258">
        <v>1</v>
      </c>
      <c r="AJ258">
        <v>0.924216628074646</v>
      </c>
      <c r="AK258">
        <v>1.1584931612014771</v>
      </c>
      <c r="AL258">
        <v>9.5676674999999989E-2</v>
      </c>
      <c r="AM258">
        <f>VLOOKUP(D258,[1]Sheet1!$C$1:$D$191,2,FALSE)</f>
        <v>31</v>
      </c>
    </row>
    <row r="259" spans="1:39" x14ac:dyDescent="0.35">
      <c r="A259">
        <v>2020</v>
      </c>
      <c r="B259" t="s">
        <v>34</v>
      </c>
      <c r="C259">
        <v>31</v>
      </c>
      <c r="D259" t="s">
        <v>238</v>
      </c>
      <c r="E259">
        <v>3800742.7392953602</v>
      </c>
      <c r="F259">
        <v>967643078.50400043</v>
      </c>
      <c r="G259">
        <v>971443821.24329579</v>
      </c>
      <c r="H259">
        <v>245600606661.89401</v>
      </c>
      <c r="I259">
        <v>254042159309.311</v>
      </c>
      <c r="J259">
        <v>-6.1434747922407482E-2</v>
      </c>
      <c r="K259">
        <v>12679.024003661099</v>
      </c>
      <c r="L259">
        <v>-6.9811306198446416E-2</v>
      </c>
      <c r="M259">
        <v>13630.5935431699</v>
      </c>
      <c r="N259">
        <v>3.04549084804334</v>
      </c>
      <c r="O259">
        <v>58.182863562974802</v>
      </c>
      <c r="P259">
        <v>124.137775199712</v>
      </c>
      <c r="Q259">
        <v>26.242192884338699</v>
      </c>
      <c r="R259">
        <v>19370624</v>
      </c>
      <c r="S259">
        <v>9.0052247805783841E-3</v>
      </c>
      <c r="T259">
        <v>41.973999999999997</v>
      </c>
      <c r="U259">
        <v>8.2799999999999994</v>
      </c>
      <c r="V259">
        <v>49.467263000000003</v>
      </c>
      <c r="W259">
        <v>3.1970710000000002</v>
      </c>
      <c r="X259">
        <v>52.001559999999998</v>
      </c>
      <c r="Y259">
        <v>87.459299999999999</v>
      </c>
      <c r="Z259">
        <v>89.112487792968807</v>
      </c>
      <c r="AA259">
        <v>2023</v>
      </c>
      <c r="AC259">
        <v>0</v>
      </c>
      <c r="AF259">
        <v>1</v>
      </c>
      <c r="AJ259">
        <v>0.93016213178634644</v>
      </c>
      <c r="AK259">
        <v>0.94864773750305176</v>
      </c>
      <c r="AL259">
        <v>0.16218009999999999</v>
      </c>
      <c r="AM259">
        <f>VLOOKUP(D259,[1]Sheet1!$C$1:$D$191,2,FALSE)</f>
        <v>31</v>
      </c>
    </row>
    <row r="260" spans="1:39" x14ac:dyDescent="0.35">
      <c r="A260">
        <v>2013</v>
      </c>
      <c r="B260" t="s">
        <v>35</v>
      </c>
      <c r="C260">
        <v>32</v>
      </c>
      <c r="D260" t="s">
        <v>239</v>
      </c>
      <c r="E260">
        <v>1718063.4039215159</v>
      </c>
      <c r="F260">
        <v>4813909986.0897036</v>
      </c>
      <c r="G260">
        <v>4815628049.4936247</v>
      </c>
      <c r="H260">
        <v>9619598215288.4805</v>
      </c>
      <c r="I260">
        <v>9570471111831.6797</v>
      </c>
      <c r="J260">
        <v>7.7661500977300554E-2</v>
      </c>
      <c r="K260">
        <v>7056.4230915234903</v>
      </c>
      <c r="L260">
        <v>7.050734134008152E-2</v>
      </c>
      <c r="M260">
        <v>6591.6624940564398</v>
      </c>
      <c r="N260">
        <v>2.6210500174811502</v>
      </c>
      <c r="O260">
        <v>46.744375577355299</v>
      </c>
      <c r="P260">
        <v>134.319251401012</v>
      </c>
      <c r="R260">
        <v>1363240000</v>
      </c>
      <c r="S260">
        <v>6.6829617705048772E-3</v>
      </c>
      <c r="U260">
        <v>3</v>
      </c>
      <c r="V260">
        <v>46.855238</v>
      </c>
      <c r="W260">
        <v>2.9805299999999999</v>
      </c>
      <c r="X260">
        <v>99.93853</v>
      </c>
      <c r="Y260">
        <v>45.8</v>
      </c>
      <c r="Z260">
        <v>32.719160315880302</v>
      </c>
      <c r="AF260">
        <v>0</v>
      </c>
      <c r="AJ260">
        <v>-0.52588939666748047</v>
      </c>
      <c r="AK260">
        <v>-0.33160817623138428</v>
      </c>
      <c r="AL260">
        <v>4.0483224999999998E-2</v>
      </c>
      <c r="AM260">
        <f>VLOOKUP(D260,[1]Sheet1!$C$1:$D$191,2,FALSE)</f>
        <v>32</v>
      </c>
    </row>
    <row r="261" spans="1:39" x14ac:dyDescent="0.35">
      <c r="A261">
        <v>2014</v>
      </c>
      <c r="B261" t="s">
        <v>35</v>
      </c>
      <c r="C261">
        <v>32</v>
      </c>
      <c r="D261" t="s">
        <v>239</v>
      </c>
      <c r="E261">
        <v>30300255.802626949</v>
      </c>
      <c r="F261">
        <v>22292851379.26123</v>
      </c>
      <c r="G261">
        <v>22323151635.063854</v>
      </c>
      <c r="H261">
        <v>10333926843443.801</v>
      </c>
      <c r="I261">
        <v>10475624944355.199</v>
      </c>
      <c r="J261">
        <v>7.4257636563243759E-2</v>
      </c>
      <c r="K261">
        <v>7532.7853013017202</v>
      </c>
      <c r="L261">
        <v>6.7507603158101281E-2</v>
      </c>
      <c r="M261">
        <v>7056.4230915234903</v>
      </c>
      <c r="N261">
        <v>1.92164162788521</v>
      </c>
      <c r="O261">
        <v>44.9052159543496</v>
      </c>
      <c r="P261">
        <v>140.23688696591299</v>
      </c>
      <c r="R261">
        <v>1371860000</v>
      </c>
      <c r="S261">
        <v>6.3231712684486954E-3</v>
      </c>
      <c r="U261">
        <v>3</v>
      </c>
      <c r="V261">
        <v>55.053668999999999</v>
      </c>
      <c r="W261">
        <v>2.8060749999999999</v>
      </c>
      <c r="X261">
        <v>40.586509999999997</v>
      </c>
      <c r="Y261">
        <v>47.9</v>
      </c>
      <c r="Z261">
        <v>43.711005101685402</v>
      </c>
      <c r="AF261">
        <v>0</v>
      </c>
      <c r="AJ261">
        <v>-0.39605319499969482</v>
      </c>
      <c r="AK261">
        <v>-0.33133441209793091</v>
      </c>
      <c r="AL261">
        <v>4.2090350000000012E-2</v>
      </c>
      <c r="AM261">
        <f>VLOOKUP(D261,[1]Sheet1!$C$1:$D$191,2,FALSE)</f>
        <v>32</v>
      </c>
    </row>
    <row r="262" spans="1:39" x14ac:dyDescent="0.35">
      <c r="A262">
        <v>2015</v>
      </c>
      <c r="B262" t="s">
        <v>35</v>
      </c>
      <c r="C262">
        <v>32</v>
      </c>
      <c r="D262" t="s">
        <v>239</v>
      </c>
      <c r="E262">
        <v>2169808613.8946109</v>
      </c>
      <c r="F262">
        <v>92130214415.11618</v>
      </c>
      <c r="G262">
        <v>94300023029.010788</v>
      </c>
      <c r="H262">
        <v>11061572618578.699</v>
      </c>
      <c r="I262">
        <v>11061572618578.699</v>
      </c>
      <c r="J262">
        <v>7.0413288787363734E-2</v>
      </c>
      <c r="K262">
        <v>8016.4455948999803</v>
      </c>
      <c r="L262">
        <v>6.4207364773117864E-2</v>
      </c>
      <c r="M262">
        <v>7532.7853013017202</v>
      </c>
      <c r="N262">
        <v>1.4370238093565499</v>
      </c>
      <c r="O262">
        <v>39.464169335301797</v>
      </c>
      <c r="P262">
        <v>152.59449983259699</v>
      </c>
      <c r="R262">
        <v>1379860000</v>
      </c>
      <c r="S262">
        <v>5.8314988409896053E-3</v>
      </c>
      <c r="U262">
        <v>3.14</v>
      </c>
      <c r="V262">
        <v>77.132700999999997</v>
      </c>
      <c r="W262">
        <v>2.7783259999999999</v>
      </c>
      <c r="X262">
        <v>40.570189999999997</v>
      </c>
      <c r="Y262">
        <v>50.3</v>
      </c>
      <c r="Z262">
        <v>47.1192619330726</v>
      </c>
      <c r="AF262">
        <v>0</v>
      </c>
      <c r="AJ262">
        <v>-0.40845569968223572</v>
      </c>
      <c r="AK262">
        <v>-0.35411745309829712</v>
      </c>
      <c r="AL262">
        <v>3.3688274999999997E-2</v>
      </c>
      <c r="AM262">
        <f>VLOOKUP(D262,[1]Sheet1!$C$1:$D$191,2,FALSE)</f>
        <v>32</v>
      </c>
    </row>
    <row r="263" spans="1:39" x14ac:dyDescent="0.35">
      <c r="A263">
        <v>2016</v>
      </c>
      <c r="B263" t="s">
        <v>35</v>
      </c>
      <c r="C263">
        <v>32</v>
      </c>
      <c r="D263" t="s">
        <v>239</v>
      </c>
      <c r="E263">
        <v>2756839531.487112</v>
      </c>
      <c r="F263">
        <v>236080203198.6604</v>
      </c>
      <c r="G263">
        <v>238837042730.14752</v>
      </c>
      <c r="H263">
        <v>11819153423353.801</v>
      </c>
      <c r="I263">
        <v>11233313730348.699</v>
      </c>
      <c r="J263">
        <v>6.8487622049571026E-2</v>
      </c>
      <c r="K263">
        <v>8516.5287423557202</v>
      </c>
      <c r="L263">
        <v>6.2382154476778348E-2</v>
      </c>
      <c r="M263">
        <v>8016.4455948999803</v>
      </c>
      <c r="N263">
        <v>2.00000182191943</v>
      </c>
      <c r="O263">
        <v>36.894415017078899</v>
      </c>
      <c r="P263">
        <v>156.22994347555399</v>
      </c>
      <c r="R263">
        <v>1387790000</v>
      </c>
      <c r="S263">
        <v>5.7469598365051527E-3</v>
      </c>
      <c r="U263">
        <v>3.14</v>
      </c>
      <c r="V263">
        <v>81.743564000000006</v>
      </c>
      <c r="W263">
        <v>2.281803</v>
      </c>
      <c r="X263">
        <v>39.343629999999997</v>
      </c>
      <c r="Y263">
        <v>53.2</v>
      </c>
      <c r="Z263">
        <v>49.309077375596999</v>
      </c>
      <c r="AF263">
        <v>0</v>
      </c>
      <c r="AJ263">
        <v>-0.32396873831748962</v>
      </c>
      <c r="AK263">
        <v>-0.31400173902511602</v>
      </c>
      <c r="AL263">
        <v>2.7079249999999999E-2</v>
      </c>
      <c r="AM263">
        <f>VLOOKUP(D263,[1]Sheet1!$C$1:$D$191,2,FALSE)</f>
        <v>32</v>
      </c>
    </row>
    <row r="264" spans="1:39" x14ac:dyDescent="0.35">
      <c r="A264">
        <v>2017</v>
      </c>
      <c r="B264" t="s">
        <v>35</v>
      </c>
      <c r="C264">
        <v>32</v>
      </c>
      <c r="D264" t="s">
        <v>239</v>
      </c>
      <c r="E264">
        <v>1207891385.9982851</v>
      </c>
      <c r="F264">
        <v>355578947480.1806</v>
      </c>
      <c r="G264">
        <v>357815045070.52832</v>
      </c>
      <c r="H264">
        <v>12640253743744.4</v>
      </c>
      <c r="I264">
        <v>12310491333980.9</v>
      </c>
      <c r="J264">
        <v>6.9472007933170932E-2</v>
      </c>
      <c r="K264">
        <v>9053.2287246193591</v>
      </c>
      <c r="L264">
        <v>6.3018631005663073E-2</v>
      </c>
      <c r="M264">
        <v>8516.5287423557202</v>
      </c>
      <c r="N264">
        <v>1.59313600071436</v>
      </c>
      <c r="O264">
        <v>37.632413240426303</v>
      </c>
      <c r="P264">
        <v>154.89505169175899</v>
      </c>
      <c r="R264">
        <v>1396215000</v>
      </c>
      <c r="S264">
        <v>6.070803219507274E-3</v>
      </c>
      <c r="U264">
        <v>3.1</v>
      </c>
      <c r="V264">
        <v>84.429514999999995</v>
      </c>
      <c r="W264">
        <v>2.3315070000000002</v>
      </c>
      <c r="X264">
        <v>37.888660000000002</v>
      </c>
      <c r="Y264">
        <v>54.3</v>
      </c>
      <c r="Z264">
        <v>51.067881227340699</v>
      </c>
      <c r="AF264">
        <v>0</v>
      </c>
      <c r="AJ264">
        <v>-0.25517809391021729</v>
      </c>
      <c r="AK264">
        <v>-0.1794264167547226</v>
      </c>
      <c r="AL264">
        <v>2.6589999999999999E-2</v>
      </c>
      <c r="AM264">
        <f>VLOOKUP(D264,[1]Sheet1!$C$1:$D$191,2,FALSE)</f>
        <v>32</v>
      </c>
    </row>
    <row r="265" spans="1:39" x14ac:dyDescent="0.35">
      <c r="A265">
        <v>2018</v>
      </c>
      <c r="B265" t="s">
        <v>35</v>
      </c>
      <c r="C265">
        <v>32</v>
      </c>
      <c r="D265" t="s">
        <v>239</v>
      </c>
      <c r="E265">
        <v>27978441.717778001</v>
      </c>
      <c r="F265">
        <v>214365715023.121</v>
      </c>
      <c r="G265">
        <v>214393693464.83881</v>
      </c>
      <c r="H265">
        <v>13493442283300.801</v>
      </c>
      <c r="I265">
        <v>13894907857880.6</v>
      </c>
      <c r="J265">
        <v>6.7497738324963544E-2</v>
      </c>
      <c r="K265">
        <v>9619.2094751067707</v>
      </c>
      <c r="L265">
        <v>6.251700555717575E-2</v>
      </c>
      <c r="M265">
        <v>9053.2287246193591</v>
      </c>
      <c r="N265">
        <v>2.0747903996557602</v>
      </c>
      <c r="O265">
        <v>37.5657841021374</v>
      </c>
      <c r="P265">
        <v>157.81207858838101</v>
      </c>
      <c r="R265">
        <v>1402760000</v>
      </c>
      <c r="S265">
        <v>4.6876734600330176E-3</v>
      </c>
      <c r="U265">
        <v>3.32</v>
      </c>
      <c r="V265">
        <v>97.118988000000002</v>
      </c>
      <c r="W265">
        <v>2.1498170000000001</v>
      </c>
      <c r="X265">
        <v>37.707979999999999</v>
      </c>
      <c r="Y265">
        <v>59.2</v>
      </c>
      <c r="Z265">
        <v>53.398798457281401</v>
      </c>
      <c r="AF265">
        <v>0</v>
      </c>
      <c r="AJ265">
        <v>-0.18647919595241549</v>
      </c>
      <c r="AK265">
        <v>-0.22858552634716031</v>
      </c>
      <c r="AL265">
        <v>5.8468600000000003E-2</v>
      </c>
      <c r="AM265">
        <f>VLOOKUP(D265,[1]Sheet1!$C$1:$D$191,2,FALSE)</f>
        <v>32</v>
      </c>
    </row>
    <row r="266" spans="1:39" x14ac:dyDescent="0.35">
      <c r="A266">
        <v>2019</v>
      </c>
      <c r="B266" t="s">
        <v>35</v>
      </c>
      <c r="C266">
        <v>32</v>
      </c>
      <c r="D266" t="s">
        <v>239</v>
      </c>
      <c r="E266">
        <v>10066179.71809664</v>
      </c>
      <c r="F266">
        <v>84336608932.452576</v>
      </c>
      <c r="G266">
        <v>84346675112.17067</v>
      </c>
      <c r="H266">
        <v>14296369668065.199</v>
      </c>
      <c r="I266">
        <v>14279968506271.699</v>
      </c>
      <c r="J266">
        <v>5.9505007536741338E-2</v>
      </c>
      <c r="K266">
        <v>10155.510883054199</v>
      </c>
      <c r="L266">
        <v>5.5753168629428973E-2</v>
      </c>
      <c r="M266">
        <v>9619.2094751067707</v>
      </c>
      <c r="N266">
        <v>2.8992341635822698</v>
      </c>
      <c r="O266">
        <v>35.890096034242497</v>
      </c>
      <c r="P266">
        <v>165.39036962190599</v>
      </c>
      <c r="R266">
        <v>1407745000</v>
      </c>
      <c r="S266">
        <v>3.5537084034332317E-3</v>
      </c>
      <c r="U266">
        <v>2.2599999999999998</v>
      </c>
      <c r="V266">
        <v>95.546997000000005</v>
      </c>
      <c r="W266">
        <v>2.228113</v>
      </c>
      <c r="X266">
        <v>37.888249999999999</v>
      </c>
      <c r="Y266">
        <v>64.0809</v>
      </c>
      <c r="Z266">
        <v>56.605091792329198</v>
      </c>
      <c r="AF266">
        <v>0</v>
      </c>
      <c r="AI266">
        <v>1</v>
      </c>
      <c r="AJ266">
        <v>-0.26168152689933782</v>
      </c>
      <c r="AK266">
        <v>-0.30431997776031489</v>
      </c>
      <c r="AL266">
        <v>8.8743824999999998E-2</v>
      </c>
      <c r="AM266">
        <f>VLOOKUP(D266,[1]Sheet1!$C$1:$D$191,2,FALSE)</f>
        <v>32</v>
      </c>
    </row>
    <row r="267" spans="1:39" x14ac:dyDescent="0.35">
      <c r="A267">
        <v>2020</v>
      </c>
      <c r="B267" t="s">
        <v>35</v>
      </c>
      <c r="C267">
        <v>32</v>
      </c>
      <c r="D267" t="s">
        <v>239</v>
      </c>
      <c r="E267">
        <v>8411364.9382288512</v>
      </c>
      <c r="F267">
        <v>1152768942.603729</v>
      </c>
      <c r="G267">
        <v>1161180307.5419576</v>
      </c>
      <c r="H267">
        <v>14616413683019.5</v>
      </c>
      <c r="I267">
        <v>14687744162801</v>
      </c>
      <c r="J267">
        <v>2.2386383563458456E-2</v>
      </c>
      <c r="K267">
        <v>10358.1699971792</v>
      </c>
      <c r="L267">
        <v>1.9955580419214979E-2</v>
      </c>
      <c r="M267">
        <v>10155.510883054199</v>
      </c>
      <c r="N267">
        <v>2.4194218945778201</v>
      </c>
      <c r="O267">
        <v>34.754295699606601</v>
      </c>
      <c r="P267">
        <v>182.86805898266101</v>
      </c>
      <c r="R267">
        <v>1411100000</v>
      </c>
      <c r="S267">
        <v>2.3832441244685649E-3</v>
      </c>
      <c r="U267">
        <v>2.27</v>
      </c>
      <c r="V267">
        <v>87.876942</v>
      </c>
      <c r="W267">
        <v>2.3011210000000002</v>
      </c>
      <c r="X267">
        <v>38.519579999999998</v>
      </c>
      <c r="Y267">
        <v>70.052800000000005</v>
      </c>
      <c r="Z267">
        <v>61.612467599694703</v>
      </c>
      <c r="AF267">
        <v>0</v>
      </c>
      <c r="AI267">
        <v>1</v>
      </c>
      <c r="AJ267">
        <v>-0.10250510275363919</v>
      </c>
      <c r="AK267">
        <v>-0.20264337956905359</v>
      </c>
      <c r="AL267">
        <v>0.11900187499999999</v>
      </c>
      <c r="AM267">
        <f>VLOOKUP(D267,[1]Sheet1!$C$1:$D$191,2,FALSE)</f>
        <v>32</v>
      </c>
    </row>
    <row r="268" spans="1:39" x14ac:dyDescent="0.35">
      <c r="A268">
        <v>2013</v>
      </c>
      <c r="B268" t="s">
        <v>36</v>
      </c>
      <c r="C268">
        <v>33</v>
      </c>
      <c r="D268" t="s">
        <v>240</v>
      </c>
      <c r="E268">
        <v>16610</v>
      </c>
      <c r="G268">
        <v>16610</v>
      </c>
      <c r="H268">
        <v>272793056063.57001</v>
      </c>
      <c r="I268">
        <v>382093697077.685</v>
      </c>
      <c r="J268">
        <v>5.1339935199565083E-2</v>
      </c>
      <c r="K268">
        <v>5910.8059230116596</v>
      </c>
      <c r="L268">
        <v>4.1412938784413003E-2</v>
      </c>
      <c r="M268">
        <v>5675.7561797830504</v>
      </c>
      <c r="N268">
        <v>2.0169922431038301</v>
      </c>
      <c r="O268">
        <v>37.986648797845703</v>
      </c>
      <c r="P268">
        <v>39.483691691345797</v>
      </c>
      <c r="Q268">
        <v>33.285193138708799</v>
      </c>
      <c r="R268">
        <v>46151584</v>
      </c>
      <c r="S268">
        <v>9.5322384094255353E-3</v>
      </c>
      <c r="T268">
        <v>61.497999999999998</v>
      </c>
      <c r="U268">
        <v>6.55</v>
      </c>
      <c r="V268">
        <v>39.516658999999997</v>
      </c>
      <c r="W268">
        <v>0</v>
      </c>
      <c r="X268">
        <v>0</v>
      </c>
      <c r="Y268">
        <v>51.7</v>
      </c>
      <c r="Z268">
        <v>50.747489929199197</v>
      </c>
      <c r="AA268">
        <v>2022</v>
      </c>
      <c r="AC268">
        <v>0</v>
      </c>
      <c r="AF268">
        <v>1</v>
      </c>
      <c r="AJ268">
        <v>-0.3882690966129303</v>
      </c>
      <c r="AK268">
        <v>0.33982422947883612</v>
      </c>
      <c r="AL268">
        <v>7.3080674999999998E-2</v>
      </c>
      <c r="AM268">
        <f>VLOOKUP(D268,[1]Sheet1!$C$1:$D$191,2,FALSE)</f>
        <v>33</v>
      </c>
    </row>
    <row r="269" spans="1:39" x14ac:dyDescent="0.35">
      <c r="A269">
        <v>2014</v>
      </c>
      <c r="B269" t="s">
        <v>36</v>
      </c>
      <c r="C269">
        <v>33</v>
      </c>
      <c r="D269" t="s">
        <v>240</v>
      </c>
      <c r="E269">
        <v>151658</v>
      </c>
      <c r="G269">
        <v>151658</v>
      </c>
      <c r="H269">
        <v>285066097496.81403</v>
      </c>
      <c r="I269">
        <v>381240864422.40698</v>
      </c>
      <c r="J269">
        <v>4.4990300011097002E-2</v>
      </c>
      <c r="K269">
        <v>6121.83982019825</v>
      </c>
      <c r="L269">
        <v>3.5703066542077375E-2</v>
      </c>
      <c r="M269">
        <v>5910.8059230116596</v>
      </c>
      <c r="N269">
        <v>2.89883787761738</v>
      </c>
      <c r="O269">
        <v>37.487465641110298</v>
      </c>
      <c r="P269">
        <v>42.384605697001298</v>
      </c>
      <c r="Q269">
        <v>30.1625917691368</v>
      </c>
      <c r="R269">
        <v>46565429</v>
      </c>
      <c r="S269">
        <v>8.9670811732052366E-3</v>
      </c>
      <c r="T269">
        <v>60.942</v>
      </c>
      <c r="U269">
        <v>6.55</v>
      </c>
      <c r="V269">
        <v>40.968474000000001</v>
      </c>
      <c r="W269">
        <v>0</v>
      </c>
      <c r="X269">
        <v>0</v>
      </c>
      <c r="Y269">
        <v>52.568100000000001</v>
      </c>
      <c r="Z269">
        <v>53.179439544677699</v>
      </c>
      <c r="AA269">
        <v>2022</v>
      </c>
      <c r="AC269">
        <v>0</v>
      </c>
      <c r="AF269">
        <v>1</v>
      </c>
      <c r="AJ269">
        <v>-0.25229153037071228</v>
      </c>
      <c r="AK269">
        <v>0.44441202282905579</v>
      </c>
      <c r="AL269">
        <v>7.2965650000000007E-2</v>
      </c>
      <c r="AM269">
        <f>VLOOKUP(D269,[1]Sheet1!$C$1:$D$191,2,FALSE)</f>
        <v>33</v>
      </c>
    </row>
    <row r="270" spans="1:39" x14ac:dyDescent="0.35">
      <c r="A270">
        <v>2015</v>
      </c>
      <c r="B270" t="s">
        <v>36</v>
      </c>
      <c r="C270">
        <v>33</v>
      </c>
      <c r="D270" t="s">
        <v>240</v>
      </c>
      <c r="E270">
        <v>333729</v>
      </c>
      <c r="G270">
        <v>333729</v>
      </c>
      <c r="H270">
        <v>293492370193.16602</v>
      </c>
      <c r="I270">
        <v>293492370193.16602</v>
      </c>
      <c r="J270">
        <v>2.9559013752753129E-2</v>
      </c>
      <c r="K270">
        <v>6248.5149053451196</v>
      </c>
      <c r="L270">
        <v>2.0692322711371981E-2</v>
      </c>
      <c r="M270">
        <v>6121.83982019825</v>
      </c>
      <c r="N270">
        <v>4.9898311584953001</v>
      </c>
      <c r="O270">
        <v>38.360764118445303</v>
      </c>
      <c r="P270">
        <v>46.905393599856801</v>
      </c>
      <c r="Q270">
        <v>26.815677055221698</v>
      </c>
      <c r="R270">
        <v>46969940</v>
      </c>
      <c r="S270">
        <v>8.6869381145398654E-3</v>
      </c>
      <c r="T270">
        <v>60.591999999999999</v>
      </c>
      <c r="U270">
        <v>6.62</v>
      </c>
      <c r="V270">
        <v>41.314404000000003</v>
      </c>
      <c r="W270">
        <v>5.1297350000000002</v>
      </c>
      <c r="X270">
        <v>64.488560000000007</v>
      </c>
      <c r="Y270">
        <v>55.905000000000001</v>
      </c>
      <c r="Z270">
        <v>54.796131134033203</v>
      </c>
      <c r="AA270">
        <v>2022</v>
      </c>
      <c r="AC270">
        <v>0</v>
      </c>
      <c r="AF270">
        <v>1</v>
      </c>
      <c r="AJ270">
        <v>-0.24723581969738009</v>
      </c>
      <c r="AK270">
        <v>0.40771973133087158</v>
      </c>
      <c r="AL270">
        <v>6.6749000000000003E-2</v>
      </c>
      <c r="AM270">
        <f>VLOOKUP(D270,[1]Sheet1!$C$1:$D$191,2,FALSE)</f>
        <v>33</v>
      </c>
    </row>
    <row r="271" spans="1:39" x14ac:dyDescent="0.35">
      <c r="A271">
        <v>2016</v>
      </c>
      <c r="B271" t="s">
        <v>36</v>
      </c>
      <c r="C271">
        <v>33</v>
      </c>
      <c r="D271" t="s">
        <v>240</v>
      </c>
      <c r="E271">
        <v>434089.56960227498</v>
      </c>
      <c r="F271">
        <v>130669975</v>
      </c>
      <c r="G271">
        <v>131104064.56960228</v>
      </c>
      <c r="H271">
        <v>299618678572.19098</v>
      </c>
      <c r="I271">
        <v>282720100286.22803</v>
      </c>
      <c r="J271">
        <v>2.0873825016278446E-2</v>
      </c>
      <c r="K271">
        <v>6316.0706778254198</v>
      </c>
      <c r="L271">
        <v>1.0811492571220643E-2</v>
      </c>
      <c r="M271">
        <v>6248.5149053451196</v>
      </c>
      <c r="N271">
        <v>7.5134602462767504</v>
      </c>
      <c r="O271">
        <v>36.202652984201997</v>
      </c>
      <c r="P271">
        <v>47.054197805235198</v>
      </c>
      <c r="Q271">
        <v>28.6308350994839</v>
      </c>
      <c r="R271">
        <v>47437512</v>
      </c>
      <c r="S271">
        <v>9.954707202095639E-3</v>
      </c>
      <c r="T271">
        <v>59.527999999999999</v>
      </c>
      <c r="U271">
        <v>6.67</v>
      </c>
      <c r="V271">
        <v>41.614071000000003</v>
      </c>
      <c r="W271">
        <v>6.1088699999999996</v>
      </c>
      <c r="X271">
        <v>66.957080000000005</v>
      </c>
      <c r="Y271">
        <v>58.136499999999998</v>
      </c>
      <c r="Z271">
        <v>57.143749237060497</v>
      </c>
      <c r="AA271">
        <v>2022</v>
      </c>
      <c r="AC271">
        <v>0</v>
      </c>
      <c r="AF271">
        <v>1</v>
      </c>
      <c r="AJ271">
        <v>-0.26606816053390497</v>
      </c>
      <c r="AK271">
        <v>0.3390253484249115</v>
      </c>
      <c r="AL271">
        <v>0.108375625</v>
      </c>
      <c r="AM271">
        <f>VLOOKUP(D271,[1]Sheet1!$C$1:$D$191,2,FALSE)</f>
        <v>33</v>
      </c>
    </row>
    <row r="272" spans="1:39" x14ac:dyDescent="0.35">
      <c r="A272">
        <v>2017</v>
      </c>
      <c r="B272" t="s">
        <v>36</v>
      </c>
      <c r="C272">
        <v>33</v>
      </c>
      <c r="D272" t="s">
        <v>240</v>
      </c>
      <c r="E272">
        <v>703682.43938000011</v>
      </c>
      <c r="F272">
        <v>49926067.288999997</v>
      </c>
      <c r="G272">
        <v>50629749.728379995</v>
      </c>
      <c r="H272">
        <v>303691577641.58301</v>
      </c>
      <c r="I272">
        <v>311866875156.87903</v>
      </c>
      <c r="J272">
        <v>1.3593608678875116E-2</v>
      </c>
      <c r="K272">
        <v>6309.6774529251798</v>
      </c>
      <c r="L272">
        <v>-1.0122155413310227E-3</v>
      </c>
      <c r="M272">
        <v>6316.0706778254198</v>
      </c>
      <c r="N272">
        <v>4.3143132569501104</v>
      </c>
      <c r="O272">
        <v>35.282914942458802</v>
      </c>
      <c r="P272">
        <v>49.805421398616303</v>
      </c>
      <c r="Q272">
        <v>27.504963907447301</v>
      </c>
      <c r="R272">
        <v>48131078</v>
      </c>
      <c r="S272">
        <v>1.4620623442477337E-2</v>
      </c>
      <c r="T272">
        <v>59.177999999999997</v>
      </c>
      <c r="U272">
        <v>6.67</v>
      </c>
      <c r="V272">
        <v>42.015936000000004</v>
      </c>
      <c r="W272">
        <v>5.8750629999999999</v>
      </c>
      <c r="X272">
        <v>68.445369999999997</v>
      </c>
      <c r="Y272">
        <v>62.259900000000002</v>
      </c>
      <c r="Z272">
        <v>58.396041870117202</v>
      </c>
      <c r="AA272">
        <v>2022</v>
      </c>
      <c r="AC272">
        <v>0</v>
      </c>
      <c r="AF272">
        <v>1</v>
      </c>
      <c r="AJ272">
        <v>-0.36663326621055597</v>
      </c>
      <c r="AK272">
        <v>0.25744664669036871</v>
      </c>
      <c r="AL272">
        <v>7.3132450000000002E-2</v>
      </c>
      <c r="AM272">
        <f>VLOOKUP(D272,[1]Sheet1!$C$1:$D$191,2,FALSE)</f>
        <v>33</v>
      </c>
    </row>
    <row r="273" spans="1:39" x14ac:dyDescent="0.35">
      <c r="A273">
        <v>2018</v>
      </c>
      <c r="B273" t="s">
        <v>36</v>
      </c>
      <c r="C273">
        <v>33</v>
      </c>
      <c r="D273" t="s">
        <v>240</v>
      </c>
      <c r="E273">
        <v>1171653.6327200001</v>
      </c>
      <c r="F273">
        <v>191295551.25561199</v>
      </c>
      <c r="G273">
        <v>192467204.88833198</v>
      </c>
      <c r="H273">
        <v>311479214511.79498</v>
      </c>
      <c r="I273">
        <v>334198218098.276</v>
      </c>
      <c r="J273">
        <v>2.5643242827770973E-2</v>
      </c>
      <c r="K273">
        <v>6353.5464285392</v>
      </c>
      <c r="L273">
        <v>6.9526494723882361E-3</v>
      </c>
      <c r="M273">
        <v>6309.6774529251798</v>
      </c>
      <c r="N273">
        <v>3.2405693293056901</v>
      </c>
      <c r="O273">
        <v>36.534752796897301</v>
      </c>
      <c r="P273">
        <v>45.870707472871501</v>
      </c>
      <c r="Q273">
        <v>29.971790721942899</v>
      </c>
      <c r="R273">
        <v>49024465</v>
      </c>
      <c r="S273">
        <v>1.8561541463916517E-2</v>
      </c>
      <c r="T273">
        <v>57.874000000000002</v>
      </c>
      <c r="U273">
        <v>6.96</v>
      </c>
      <c r="V273">
        <v>42.337332000000004</v>
      </c>
      <c r="W273">
        <v>5.808376</v>
      </c>
      <c r="X273">
        <v>61.561520000000002</v>
      </c>
      <c r="Y273">
        <v>64.126400000000004</v>
      </c>
      <c r="Z273">
        <v>57.320541381835902</v>
      </c>
      <c r="AA273">
        <v>2022</v>
      </c>
      <c r="AC273">
        <v>0</v>
      </c>
      <c r="AF273">
        <v>1</v>
      </c>
      <c r="AJ273">
        <v>-0.38374215364456182</v>
      </c>
      <c r="AK273">
        <v>0.22488917410373691</v>
      </c>
      <c r="AL273">
        <v>0.110077825</v>
      </c>
      <c r="AM273">
        <f>VLOOKUP(D273,[1]Sheet1!$C$1:$D$191,2,FALSE)</f>
        <v>33</v>
      </c>
    </row>
    <row r="274" spans="1:39" x14ac:dyDescent="0.35">
      <c r="A274">
        <v>2019</v>
      </c>
      <c r="B274" t="s">
        <v>36</v>
      </c>
      <c r="C274">
        <v>33</v>
      </c>
      <c r="D274" t="s">
        <v>240</v>
      </c>
      <c r="E274">
        <v>2583549.10914151</v>
      </c>
      <c r="F274">
        <v>453545797.24196619</v>
      </c>
      <c r="G274">
        <v>456129346.35110772</v>
      </c>
      <c r="H274">
        <v>321405606655.84198</v>
      </c>
      <c r="I274">
        <v>323031701192.84003</v>
      </c>
      <c r="J274">
        <v>3.1868553924554434E-2</v>
      </c>
      <c r="K274">
        <v>6439.9635981264701</v>
      </c>
      <c r="L274">
        <v>1.3601406798429432E-2</v>
      </c>
      <c r="M274">
        <v>6353.5464285392</v>
      </c>
      <c r="N274">
        <v>3.5230193274144699</v>
      </c>
      <c r="O274">
        <v>37.558533980839002</v>
      </c>
      <c r="P274">
        <v>46.041578106770899</v>
      </c>
      <c r="Q274">
        <v>31.304706564757598</v>
      </c>
      <c r="R274">
        <v>49907985</v>
      </c>
      <c r="S274">
        <v>1.8022022269901364E-2</v>
      </c>
      <c r="T274">
        <v>56.539000000000001</v>
      </c>
      <c r="U274">
        <v>7.13</v>
      </c>
      <c r="V274">
        <v>42.433987999999999</v>
      </c>
      <c r="W274">
        <v>5.7316900000000004</v>
      </c>
      <c r="X274">
        <v>62.65531</v>
      </c>
      <c r="Y274">
        <v>65.006900000000002</v>
      </c>
      <c r="Z274">
        <v>56.666301727294901</v>
      </c>
      <c r="AA274">
        <v>2022</v>
      </c>
      <c r="AC274">
        <v>0</v>
      </c>
      <c r="AF274">
        <v>1</v>
      </c>
      <c r="AI274">
        <v>1</v>
      </c>
      <c r="AJ274">
        <v>-0.39118397235870361</v>
      </c>
      <c r="AK274">
        <v>0.31791093945503229</v>
      </c>
      <c r="AL274">
        <v>5.3953424999999999E-2</v>
      </c>
      <c r="AM274">
        <f>VLOOKUP(D274,[1]Sheet1!$C$1:$D$191,2,FALSE)</f>
        <v>33</v>
      </c>
    </row>
    <row r="275" spans="1:39" x14ac:dyDescent="0.35">
      <c r="A275">
        <v>2020</v>
      </c>
      <c r="B275" t="s">
        <v>36</v>
      </c>
      <c r="C275">
        <v>33</v>
      </c>
      <c r="D275" t="s">
        <v>240</v>
      </c>
      <c r="E275">
        <v>4084707.7004241701</v>
      </c>
      <c r="F275">
        <v>520359506.20133191</v>
      </c>
      <c r="G275">
        <v>524444213.90175605</v>
      </c>
      <c r="H275">
        <v>298309675728.09302</v>
      </c>
      <c r="I275">
        <v>270348342541.465</v>
      </c>
      <c r="J275">
        <v>-7.1859141376086386E-2</v>
      </c>
      <c r="K275">
        <v>5891.9552321540305</v>
      </c>
      <c r="L275">
        <v>-8.5094947762106535E-2</v>
      </c>
      <c r="M275">
        <v>6439.9635981264701</v>
      </c>
      <c r="N275">
        <v>2.5266350008470599</v>
      </c>
      <c r="O275">
        <v>34.055570968010102</v>
      </c>
      <c r="P275">
        <v>51.998779061081699</v>
      </c>
      <c r="Q275">
        <v>36.554393483974401</v>
      </c>
      <c r="R275">
        <v>50629997</v>
      </c>
      <c r="S275">
        <v>1.4466863368657341E-2</v>
      </c>
      <c r="U275">
        <v>7.04</v>
      </c>
      <c r="V275">
        <v>41.148881000000003</v>
      </c>
      <c r="W275">
        <v>5.3221860000000003</v>
      </c>
      <c r="X275">
        <v>63.397689999999997</v>
      </c>
      <c r="Y275">
        <v>69.795299999999997</v>
      </c>
      <c r="Z275">
        <v>55.733108520507798</v>
      </c>
      <c r="AA275">
        <v>2022</v>
      </c>
      <c r="AC275">
        <v>0</v>
      </c>
      <c r="AF275">
        <v>1</v>
      </c>
      <c r="AI275">
        <v>1</v>
      </c>
      <c r="AJ275">
        <v>-0.49140262603759771</v>
      </c>
      <c r="AK275">
        <v>0.225666418671608</v>
      </c>
      <c r="AL275">
        <v>7.5124574999999999E-2</v>
      </c>
      <c r="AM275">
        <f>VLOOKUP(D275,[1]Sheet1!$C$1:$D$191,2,FALSE)</f>
        <v>33</v>
      </c>
    </row>
    <row r="276" spans="1:39" x14ac:dyDescent="0.35">
      <c r="A276">
        <v>2013</v>
      </c>
      <c r="B276" t="s">
        <v>37</v>
      </c>
      <c r="C276">
        <v>34</v>
      </c>
      <c r="D276" t="s">
        <v>241</v>
      </c>
      <c r="E276">
        <v>42576.428594011901</v>
      </c>
      <c r="F276">
        <v>1503275</v>
      </c>
      <c r="G276">
        <v>1545851.4285940118</v>
      </c>
      <c r="H276">
        <v>32396822644.976898</v>
      </c>
      <c r="I276">
        <v>32679745048.442699</v>
      </c>
      <c r="J276">
        <v>8.4819566360876036E-2</v>
      </c>
      <c r="K276">
        <v>427.45852035072801</v>
      </c>
      <c r="L276">
        <v>4.8537766170207622E-2</v>
      </c>
      <c r="M276">
        <v>407.671076943679</v>
      </c>
      <c r="N276">
        <v>0.80822310148711096</v>
      </c>
      <c r="O276">
        <v>77.465945147226506</v>
      </c>
      <c r="P276">
        <v>5.2465013387778399</v>
      </c>
      <c r="Q276">
        <v>13.0948791445014</v>
      </c>
      <c r="R276">
        <v>75789395</v>
      </c>
      <c r="S276">
        <v>3.4602282684758526E-2</v>
      </c>
      <c r="U276">
        <v>1.83</v>
      </c>
      <c r="V276">
        <v>0.72144043000000002</v>
      </c>
      <c r="W276">
        <v>8.777431</v>
      </c>
      <c r="X276">
        <v>49.975140000000003</v>
      </c>
      <c r="Y276">
        <v>2.2000000000000002</v>
      </c>
      <c r="Z276">
        <v>6.3727998733520499</v>
      </c>
      <c r="AJ276">
        <v>-1.5850933790206909</v>
      </c>
      <c r="AK276">
        <v>-1.260716438293457</v>
      </c>
      <c r="AL276">
        <v>9.9553025000000003E-2</v>
      </c>
      <c r="AM276">
        <f>VLOOKUP(D276,[1]Sheet1!$C$1:$D$191,2,FALSE)</f>
        <v>34</v>
      </c>
    </row>
    <row r="277" spans="1:39" x14ac:dyDescent="0.35">
      <c r="A277">
        <v>2014</v>
      </c>
      <c r="B277" t="s">
        <v>37</v>
      </c>
      <c r="C277">
        <v>34</v>
      </c>
      <c r="D277" t="s">
        <v>241</v>
      </c>
      <c r="E277">
        <v>38172.907273645003</v>
      </c>
      <c r="F277">
        <v>3457200</v>
      </c>
      <c r="G277">
        <v>3495372.907273645</v>
      </c>
      <c r="H277">
        <v>35464895084.478699</v>
      </c>
      <c r="I277">
        <v>35909040925.9375</v>
      </c>
      <c r="J277">
        <v>9.4702880993099578E-2</v>
      </c>
      <c r="K277">
        <v>452.33965050168098</v>
      </c>
      <c r="L277">
        <v>5.8207121782338327E-2</v>
      </c>
      <c r="M277">
        <v>427.45852035072801</v>
      </c>
      <c r="N277">
        <v>1.24303889760803</v>
      </c>
      <c r="O277">
        <v>78.690150124216004</v>
      </c>
      <c r="P277">
        <v>5.71798042102282</v>
      </c>
      <c r="Q277">
        <v>12.266732516686799</v>
      </c>
      <c r="R277">
        <v>78403242</v>
      </c>
      <c r="S277">
        <v>3.448829483333387E-2</v>
      </c>
      <c r="U277">
        <v>1.75</v>
      </c>
      <c r="V277">
        <v>1.1075233</v>
      </c>
      <c r="W277">
        <v>7.6245880000000001</v>
      </c>
      <c r="X277">
        <v>65.082750000000004</v>
      </c>
      <c r="Y277">
        <v>3</v>
      </c>
      <c r="AJ277">
        <v>-1.4630329608917241</v>
      </c>
      <c r="AK277">
        <v>-1.3734496831893921</v>
      </c>
      <c r="AL277">
        <v>9.3629649999999995E-2</v>
      </c>
      <c r="AM277">
        <f>VLOOKUP(D277,[1]Sheet1!$C$1:$D$191,2,FALSE)</f>
        <v>34</v>
      </c>
    </row>
    <row r="278" spans="1:39" x14ac:dyDescent="0.35">
      <c r="A278">
        <v>2015</v>
      </c>
      <c r="B278" t="s">
        <v>37</v>
      </c>
      <c r="C278">
        <v>34</v>
      </c>
      <c r="D278" t="s">
        <v>241</v>
      </c>
      <c r="E278">
        <v>26791.090304134901</v>
      </c>
      <c r="F278">
        <v>3004875</v>
      </c>
      <c r="G278">
        <v>3031666.0903041349</v>
      </c>
      <c r="H278">
        <v>37917706497.179298</v>
      </c>
      <c r="I278">
        <v>37917706497.179298</v>
      </c>
      <c r="J278">
        <v>6.9161671192256788E-2</v>
      </c>
      <c r="K278">
        <v>467.91458054589998</v>
      </c>
      <c r="L278">
        <v>3.4431936326928571E-2</v>
      </c>
      <c r="M278">
        <v>452.33965050168098</v>
      </c>
      <c r="N278">
        <v>0.74419899478147</v>
      </c>
      <c r="O278">
        <v>59.332430964424503</v>
      </c>
      <c r="P278">
        <v>6.2855111270692499</v>
      </c>
      <c r="Q278">
        <v>12.5484379534551</v>
      </c>
      <c r="R278">
        <v>81035531</v>
      </c>
      <c r="S278">
        <v>3.3573726453811695E-2</v>
      </c>
      <c r="U278">
        <v>2.11</v>
      </c>
      <c r="V278">
        <v>1.3126465</v>
      </c>
      <c r="W278">
        <v>8.0890500000000003</v>
      </c>
      <c r="X278">
        <v>64.272369999999995</v>
      </c>
      <c r="Y278">
        <v>3.8</v>
      </c>
      <c r="AJ278">
        <v>-1.6004239320755</v>
      </c>
      <c r="AK278">
        <v>-1.3599481582641599</v>
      </c>
      <c r="AL278">
        <v>0.27770275</v>
      </c>
      <c r="AM278">
        <f>VLOOKUP(D278,[1]Sheet1!$C$1:$D$191,2,FALSE)</f>
        <v>34</v>
      </c>
    </row>
    <row r="279" spans="1:39" x14ac:dyDescent="0.35">
      <c r="A279">
        <v>2016</v>
      </c>
      <c r="B279" t="s">
        <v>37</v>
      </c>
      <c r="C279">
        <v>34</v>
      </c>
      <c r="D279" t="s">
        <v>241</v>
      </c>
      <c r="E279">
        <v>66475.849148902809</v>
      </c>
      <c r="F279">
        <v>2134300</v>
      </c>
      <c r="G279">
        <v>2200775.849148903</v>
      </c>
      <c r="H279">
        <v>38827503534.0756</v>
      </c>
      <c r="I279">
        <v>37134801555.332199</v>
      </c>
      <c r="J279">
        <v>2.3993989113344213E-2</v>
      </c>
      <c r="K279">
        <v>462.47214741214998</v>
      </c>
      <c r="L279">
        <v>-1.163125356641056E-2</v>
      </c>
      <c r="M279">
        <v>467.91458054589998</v>
      </c>
      <c r="N279">
        <v>2.8858510728998801</v>
      </c>
      <c r="O279">
        <v>55.925210262411603</v>
      </c>
      <c r="P279">
        <v>7.3927886990719101</v>
      </c>
      <c r="Q279">
        <v>12.349780062908399</v>
      </c>
      <c r="R279">
        <v>83956415</v>
      </c>
      <c r="S279">
        <v>3.6044485227103649E-2</v>
      </c>
      <c r="U279">
        <v>1.93</v>
      </c>
      <c r="V279">
        <v>1.1993334</v>
      </c>
      <c r="W279">
        <v>5.9948009999999998</v>
      </c>
      <c r="X279">
        <v>63.639830000000003</v>
      </c>
      <c r="Y279">
        <v>10.1</v>
      </c>
      <c r="Z279">
        <v>5.9003701210021999</v>
      </c>
      <c r="AJ279">
        <v>-1.6479817628860469</v>
      </c>
      <c r="AK279">
        <v>-1.3217271566390989</v>
      </c>
      <c r="AL279">
        <v>0.26735599999999998</v>
      </c>
      <c r="AM279">
        <f>VLOOKUP(D279,[1]Sheet1!$C$1:$D$191,2,FALSE)</f>
        <v>34</v>
      </c>
    </row>
    <row r="280" spans="1:39" x14ac:dyDescent="0.35">
      <c r="A280">
        <v>2017</v>
      </c>
      <c r="B280" t="s">
        <v>37</v>
      </c>
      <c r="C280">
        <v>34</v>
      </c>
      <c r="D280" t="s">
        <v>241</v>
      </c>
      <c r="E280">
        <v>170348</v>
      </c>
      <c r="G280">
        <v>170348</v>
      </c>
      <c r="H280">
        <v>40274584268.021004</v>
      </c>
      <c r="I280">
        <v>38019264794.826302</v>
      </c>
      <c r="J280">
        <v>3.726947658830098E-2</v>
      </c>
      <c r="K280">
        <v>462.48292088947898</v>
      </c>
      <c r="L280">
        <v>2.3295407927334161E-5</v>
      </c>
      <c r="M280">
        <v>462.47214741214998</v>
      </c>
      <c r="O280">
        <v>74.291379617190401</v>
      </c>
      <c r="P280">
        <v>5.4658396945750196</v>
      </c>
      <c r="Q280">
        <v>7.7370077238053696</v>
      </c>
      <c r="R280">
        <v>87083398</v>
      </c>
      <c r="S280">
        <v>3.7245313535600587E-2</v>
      </c>
      <c r="U280">
        <v>1.61</v>
      </c>
      <c r="V280">
        <v>1.351642</v>
      </c>
      <c r="W280">
        <v>6.1163290000000003</v>
      </c>
      <c r="X280">
        <v>64.485209999999995</v>
      </c>
      <c r="Y280">
        <v>8.6198999999999995</v>
      </c>
      <c r="AJ280">
        <v>-1.7110991477966311</v>
      </c>
      <c r="AK280">
        <v>-1.4805616140365601</v>
      </c>
      <c r="AL280">
        <v>0.238257625</v>
      </c>
      <c r="AM280">
        <f>VLOOKUP(D280,[1]Sheet1!$C$1:$D$191,2,FALSE)</f>
        <v>34</v>
      </c>
    </row>
    <row r="281" spans="1:39" x14ac:dyDescent="0.35">
      <c r="A281">
        <v>2018</v>
      </c>
      <c r="B281" t="s">
        <v>37</v>
      </c>
      <c r="C281">
        <v>34</v>
      </c>
      <c r="D281" t="s">
        <v>241</v>
      </c>
      <c r="E281">
        <v>64271.356281999993</v>
      </c>
      <c r="F281">
        <v>4680304</v>
      </c>
      <c r="G281">
        <v>4744575.3562819995</v>
      </c>
      <c r="H281">
        <v>42619016590.659302</v>
      </c>
      <c r="I281">
        <v>47568210009.8172</v>
      </c>
      <c r="J281">
        <v>5.8211210996902435E-2</v>
      </c>
      <c r="K281">
        <v>473.29407741816499</v>
      </c>
      <c r="L281">
        <v>2.337633681238056E-2</v>
      </c>
      <c r="M281">
        <v>462.48292088947898</v>
      </c>
      <c r="O281">
        <v>69.919729150181695</v>
      </c>
      <c r="P281">
        <v>5.8044005157438496</v>
      </c>
      <c r="Q281">
        <v>9.8843901437541604</v>
      </c>
      <c r="R281">
        <v>90047644</v>
      </c>
      <c r="S281">
        <v>3.4039163239817538E-2</v>
      </c>
      <c r="U281">
        <v>1.49</v>
      </c>
      <c r="V281">
        <v>1.4008722</v>
      </c>
      <c r="W281">
        <v>7.5799969999999997</v>
      </c>
      <c r="X281">
        <v>67.051479999999998</v>
      </c>
      <c r="Y281">
        <v>11.7</v>
      </c>
      <c r="AJ281">
        <v>-1.8035680055618291</v>
      </c>
      <c r="AK281">
        <v>-1.488919734954834</v>
      </c>
      <c r="AL281">
        <v>0.15515665000000001</v>
      </c>
      <c r="AM281">
        <f>VLOOKUP(D281,[1]Sheet1!$C$1:$D$191,2,FALSE)</f>
        <v>34</v>
      </c>
    </row>
    <row r="282" spans="1:39" x14ac:dyDescent="0.35">
      <c r="A282">
        <v>2019</v>
      </c>
      <c r="B282" t="s">
        <v>37</v>
      </c>
      <c r="C282">
        <v>34</v>
      </c>
      <c r="D282" t="s">
        <v>241</v>
      </c>
      <c r="E282">
        <v>5584405.1187773403</v>
      </c>
      <c r="F282">
        <v>3195525</v>
      </c>
      <c r="G282">
        <v>8779930.1187773403</v>
      </c>
      <c r="H282">
        <v>44487659679.018799</v>
      </c>
      <c r="I282">
        <v>51775829877.208801</v>
      </c>
      <c r="J282">
        <v>4.3845288742984337E-2</v>
      </c>
      <c r="K282">
        <v>478.63242625890399</v>
      </c>
      <c r="L282">
        <v>1.127913721181527E-2</v>
      </c>
      <c r="M282">
        <v>473.29407741816499</v>
      </c>
      <c r="O282">
        <v>55.2351580399854</v>
      </c>
      <c r="P282">
        <v>6.0036030887401299</v>
      </c>
      <c r="Q282">
        <v>7.98205495997684</v>
      </c>
      <c r="R282">
        <v>92947442</v>
      </c>
      <c r="S282">
        <v>3.2202930262117686E-2</v>
      </c>
      <c r="U282">
        <v>1.1299999999999999</v>
      </c>
      <c r="V282">
        <v>0</v>
      </c>
      <c r="W282">
        <v>7.3373850000000003</v>
      </c>
      <c r="X282">
        <v>64.773480000000006</v>
      </c>
      <c r="Y282">
        <v>16.481200000000001</v>
      </c>
      <c r="AJ282">
        <v>-1.814902663230896</v>
      </c>
      <c r="AK282">
        <v>-1.5220644474029541</v>
      </c>
      <c r="AL282">
        <v>0.23067805</v>
      </c>
      <c r="AM282">
        <f>VLOOKUP(D282,[1]Sheet1!$C$1:$D$191,2,FALSE)</f>
        <v>34</v>
      </c>
    </row>
    <row r="283" spans="1:39" x14ac:dyDescent="0.35">
      <c r="A283">
        <v>2020</v>
      </c>
      <c r="B283" t="s">
        <v>37</v>
      </c>
      <c r="C283">
        <v>34</v>
      </c>
      <c r="D283" t="s">
        <v>241</v>
      </c>
      <c r="E283">
        <v>25624.637612750001</v>
      </c>
      <c r="F283">
        <v>4431488</v>
      </c>
      <c r="G283">
        <v>4457112.6376127498</v>
      </c>
      <c r="H283">
        <v>45259708653.511597</v>
      </c>
      <c r="I283">
        <v>48716961860.1325</v>
      </c>
      <c r="J283">
        <v>1.7354227668148398E-2</v>
      </c>
      <c r="K283">
        <v>471.504423341186</v>
      </c>
      <c r="L283">
        <v>-1.489243629695553E-2</v>
      </c>
      <c r="M283">
        <v>478.63242625890399</v>
      </c>
      <c r="O283">
        <v>58.491757328202297</v>
      </c>
      <c r="P283">
        <v>7.4504033573486002</v>
      </c>
      <c r="Q283">
        <v>9.0786149205036502</v>
      </c>
      <c r="R283">
        <v>95989998</v>
      </c>
      <c r="S283">
        <v>3.2734155287458044E-2</v>
      </c>
      <c r="T283">
        <v>62.389000000000003</v>
      </c>
      <c r="U283">
        <v>1.1299999999999999</v>
      </c>
      <c r="V283">
        <v>0</v>
      </c>
      <c r="W283">
        <v>5.5212479999999999</v>
      </c>
      <c r="X283">
        <v>77.718019999999996</v>
      </c>
      <c r="Y283">
        <v>21.642199999999999</v>
      </c>
      <c r="Z283">
        <v>6.3798799514770499</v>
      </c>
      <c r="AJ283">
        <v>-1.8238790035247801</v>
      </c>
      <c r="AK283">
        <v>-1.5112456083297729</v>
      </c>
      <c r="AL283">
        <v>0.13176702500000001</v>
      </c>
      <c r="AM283">
        <f>VLOOKUP(D283,[1]Sheet1!$C$1:$D$191,2,FALSE)</f>
        <v>34</v>
      </c>
    </row>
    <row r="284" spans="1:39" x14ac:dyDescent="0.35">
      <c r="A284">
        <v>2013</v>
      </c>
      <c r="B284" t="s">
        <v>38</v>
      </c>
      <c r="C284">
        <v>35</v>
      </c>
      <c r="D284" t="s">
        <v>242</v>
      </c>
      <c r="E284">
        <v>7150</v>
      </c>
      <c r="F284">
        <v>636850</v>
      </c>
      <c r="G284">
        <v>644000</v>
      </c>
      <c r="H284">
        <v>11611660392.468201</v>
      </c>
      <c r="I284">
        <v>17958720699.0868</v>
      </c>
      <c r="J284">
        <v>-7.1243445187598401E-3</v>
      </c>
      <c r="K284">
        <v>2390.6575493866198</v>
      </c>
      <c r="L284">
        <v>-3.0969432365692818E-2</v>
      </c>
      <c r="M284">
        <v>2467.0610290683899</v>
      </c>
      <c r="N284">
        <v>4.6316161972946102</v>
      </c>
      <c r="O284">
        <v>93.002863391523505</v>
      </c>
      <c r="P284">
        <v>8.8786728052564801</v>
      </c>
      <c r="Q284">
        <v>10.8769536250591</v>
      </c>
      <c r="R284">
        <v>4857099</v>
      </c>
      <c r="S284">
        <v>2.4607157548334018E-2</v>
      </c>
      <c r="U284">
        <v>2.89</v>
      </c>
      <c r="V284">
        <v>3.6611357</v>
      </c>
      <c r="W284">
        <v>0</v>
      </c>
      <c r="X284">
        <v>0</v>
      </c>
      <c r="Y284">
        <v>6.6</v>
      </c>
      <c r="Z284">
        <v>8.5663204193115199</v>
      </c>
      <c r="AJ284">
        <v>-1.1212103366851811</v>
      </c>
      <c r="AK284">
        <v>-1.353200316429138</v>
      </c>
      <c r="AL284">
        <v>3.5213750000000002E-3</v>
      </c>
      <c r="AM284">
        <f>VLOOKUP(D284,[1]Sheet1!$C$1:$D$191,2,FALSE)</f>
        <v>35</v>
      </c>
    </row>
    <row r="285" spans="1:39" x14ac:dyDescent="0.35">
      <c r="A285">
        <v>2014</v>
      </c>
      <c r="B285" t="s">
        <v>38</v>
      </c>
      <c r="C285">
        <v>35</v>
      </c>
      <c r="D285" t="s">
        <v>242</v>
      </c>
      <c r="E285">
        <v>275</v>
      </c>
      <c r="F285">
        <v>587225</v>
      </c>
      <c r="G285">
        <v>587500</v>
      </c>
      <c r="H285">
        <v>12383378937.2556</v>
      </c>
      <c r="I285">
        <v>17919321078.0284</v>
      </c>
      <c r="J285">
        <v>6.6460654092843394E-2</v>
      </c>
      <c r="K285">
        <v>2488.6811854899202</v>
      </c>
      <c r="L285">
        <v>4.1002792779104062E-2</v>
      </c>
      <c r="M285">
        <v>2390.6575493866198</v>
      </c>
      <c r="N285">
        <v>0.91213954545009701</v>
      </c>
      <c r="O285">
        <v>104.19762010341699</v>
      </c>
      <c r="P285">
        <v>11.1598525258918</v>
      </c>
      <c r="Q285">
        <v>12.764755103563999</v>
      </c>
      <c r="R285">
        <v>4975880</v>
      </c>
      <c r="S285">
        <v>2.445513258016771E-2</v>
      </c>
      <c r="U285">
        <v>2.89</v>
      </c>
      <c r="V285">
        <v>6.4586872</v>
      </c>
      <c r="W285">
        <v>0</v>
      </c>
      <c r="X285">
        <v>0</v>
      </c>
      <c r="Y285">
        <v>7.11</v>
      </c>
      <c r="AJ285">
        <v>-1.11928927898407</v>
      </c>
      <c r="AK285">
        <v>-1.2221895456314089</v>
      </c>
      <c r="AL285">
        <v>2.2297174999999999E-2</v>
      </c>
      <c r="AM285">
        <f>VLOOKUP(D285,[1]Sheet1!$C$1:$D$191,2,FALSE)</f>
        <v>35</v>
      </c>
    </row>
    <row r="286" spans="1:39" x14ac:dyDescent="0.35">
      <c r="A286">
        <v>2015</v>
      </c>
      <c r="B286" t="s">
        <v>38</v>
      </c>
      <c r="C286">
        <v>35</v>
      </c>
      <c r="D286" t="s">
        <v>242</v>
      </c>
      <c r="E286">
        <v>2385.0586226740002</v>
      </c>
      <c r="F286">
        <v>199025</v>
      </c>
      <c r="G286">
        <v>201410.058622674</v>
      </c>
      <c r="H286">
        <v>12434793867.3568</v>
      </c>
      <c r="I286">
        <v>12434793867.3568</v>
      </c>
      <c r="J286">
        <v>4.1519306129377534E-3</v>
      </c>
      <c r="K286">
        <v>2439.3518940369599</v>
      </c>
      <c r="L286">
        <v>-1.9821458747135291E-2</v>
      </c>
      <c r="M286">
        <v>2488.6811854899202</v>
      </c>
      <c r="N286">
        <v>3.1690979675082902</v>
      </c>
      <c r="O286">
        <v>117.320721558581</v>
      </c>
      <c r="P286">
        <v>15.227252169824601</v>
      </c>
      <c r="Q286">
        <v>14.8958714742342</v>
      </c>
      <c r="R286">
        <v>5097581</v>
      </c>
      <c r="S286">
        <v>2.4458186290666175E-2</v>
      </c>
      <c r="U286">
        <v>2.91</v>
      </c>
      <c r="V286">
        <v>7.7251222999999998</v>
      </c>
      <c r="W286">
        <v>0</v>
      </c>
      <c r="X286">
        <v>0</v>
      </c>
      <c r="Y286">
        <v>7.6159699999999999</v>
      </c>
      <c r="AJ286">
        <v>-1.136070609092712</v>
      </c>
      <c r="AK286">
        <v>-1.27837598323822</v>
      </c>
      <c r="AL286">
        <v>9.7303750000000012E-3</v>
      </c>
      <c r="AM286">
        <f>VLOOKUP(D286,[1]Sheet1!$C$1:$D$191,2,FALSE)</f>
        <v>35</v>
      </c>
    </row>
    <row r="287" spans="1:39" x14ac:dyDescent="0.35">
      <c r="A287">
        <v>2016</v>
      </c>
      <c r="B287" t="s">
        <v>38</v>
      </c>
      <c r="C287">
        <v>35</v>
      </c>
      <c r="D287" t="s">
        <v>242</v>
      </c>
      <c r="E287">
        <v>3670.2812760000802</v>
      </c>
      <c r="G287">
        <v>3670.2812760000802</v>
      </c>
      <c r="H287">
        <v>11354801748.821899</v>
      </c>
      <c r="I287">
        <v>10931328150.847799</v>
      </c>
      <c r="J287">
        <v>-8.685243439137677E-2</v>
      </c>
      <c r="K287">
        <v>2174.1931025122399</v>
      </c>
      <c r="L287">
        <v>-0.10870050859529762</v>
      </c>
      <c r="M287">
        <v>2439.3518940369599</v>
      </c>
      <c r="N287">
        <v>3.1905617972377298</v>
      </c>
      <c r="O287">
        <v>122.25981828402099</v>
      </c>
      <c r="P287">
        <v>17.939564992759799</v>
      </c>
      <c r="Q287">
        <v>17.151274400945798</v>
      </c>
      <c r="R287">
        <v>5222536</v>
      </c>
      <c r="S287">
        <v>2.4512607058132081E-2</v>
      </c>
      <c r="U287">
        <v>2.91</v>
      </c>
      <c r="V287">
        <v>9.0114757999999995</v>
      </c>
      <c r="W287">
        <v>0</v>
      </c>
      <c r="X287">
        <v>0</v>
      </c>
      <c r="Y287">
        <v>8.12195</v>
      </c>
      <c r="AJ287">
        <v>-1.149505138397217</v>
      </c>
      <c r="AK287">
        <v>-1.206565737724304</v>
      </c>
      <c r="AL287">
        <v>7.6057574999999988E-2</v>
      </c>
      <c r="AM287">
        <f>VLOOKUP(D287,[1]Sheet1!$C$1:$D$191,2,FALSE)</f>
        <v>35</v>
      </c>
    </row>
    <row r="288" spans="1:39" x14ac:dyDescent="0.35">
      <c r="A288">
        <v>2017</v>
      </c>
      <c r="B288" t="s">
        <v>38</v>
      </c>
      <c r="C288">
        <v>35</v>
      </c>
      <c r="D288" t="s">
        <v>242</v>
      </c>
      <c r="E288">
        <v>31448</v>
      </c>
      <c r="G288">
        <v>31448</v>
      </c>
      <c r="H288">
        <v>10719526284.7166</v>
      </c>
      <c r="I288">
        <v>11834473039.3645</v>
      </c>
      <c r="J288">
        <v>-5.59477371915552E-2</v>
      </c>
      <c r="K288">
        <v>2003.2712107518701</v>
      </c>
      <c r="L288">
        <v>-7.8613942599152178E-2</v>
      </c>
      <c r="M288">
        <v>2174.1931025122399</v>
      </c>
      <c r="N288">
        <v>0.45006382328554601</v>
      </c>
      <c r="O288">
        <v>94.617095258342204</v>
      </c>
      <c r="P288">
        <v>15.7845144454442</v>
      </c>
      <c r="Q288">
        <v>16.039661641592701</v>
      </c>
      <c r="R288">
        <v>5351011</v>
      </c>
      <c r="S288">
        <v>2.4600117643995178E-2</v>
      </c>
      <c r="U288">
        <v>3.25</v>
      </c>
      <c r="V288">
        <v>9.5043643000000007</v>
      </c>
      <c r="W288">
        <v>0</v>
      </c>
      <c r="X288">
        <v>0</v>
      </c>
      <c r="Y288">
        <v>8.65</v>
      </c>
      <c r="Z288">
        <v>12.1461896896362</v>
      </c>
      <c r="AJ288">
        <v>-1.157428503036499</v>
      </c>
      <c r="AK288">
        <v>-1.410275459289551</v>
      </c>
      <c r="AL288">
        <v>4.2258024999999998E-2</v>
      </c>
      <c r="AM288">
        <f>VLOOKUP(D288,[1]Sheet1!$C$1:$D$191,2,FALSE)</f>
        <v>35</v>
      </c>
    </row>
    <row r="289" spans="1:39" x14ac:dyDescent="0.35">
      <c r="A289">
        <v>2019</v>
      </c>
      <c r="B289" t="s">
        <v>38</v>
      </c>
      <c r="C289">
        <v>35</v>
      </c>
      <c r="D289" t="s">
        <v>242</v>
      </c>
      <c r="F289">
        <v>9550</v>
      </c>
      <c r="G289">
        <v>9550</v>
      </c>
      <c r="H289">
        <v>10590275024.738001</v>
      </c>
      <c r="I289">
        <v>13976637779.976299</v>
      </c>
      <c r="J289">
        <v>1.1244739197652821E-2</v>
      </c>
      <c r="K289">
        <v>1885.5108087773101</v>
      </c>
      <c r="L289">
        <v>-1.2798844028513874E-2</v>
      </c>
      <c r="M289">
        <v>1909.9560382116999</v>
      </c>
      <c r="N289">
        <v>2.2060730578152499</v>
      </c>
      <c r="O289">
        <v>91.575754793037405</v>
      </c>
      <c r="P289">
        <v>12.6399762805673</v>
      </c>
      <c r="Q289">
        <v>16.227108172189599</v>
      </c>
      <c r="R289">
        <v>5616661</v>
      </c>
      <c r="S289">
        <v>2.4355302949890918E-2</v>
      </c>
      <c r="U289">
        <v>3.31</v>
      </c>
      <c r="V289">
        <v>0</v>
      </c>
      <c r="W289">
        <v>0</v>
      </c>
      <c r="X289">
        <v>0</v>
      </c>
      <c r="AJ289">
        <v>-1.1102204322814939</v>
      </c>
      <c r="AK289">
        <v>-1.292212963104248</v>
      </c>
      <c r="AL289">
        <v>7.5870775000000001E-2</v>
      </c>
      <c r="AM289">
        <f>VLOOKUP(D289,[1]Sheet1!$C$1:$D$191,2,FALSE)</f>
        <v>35</v>
      </c>
    </row>
    <row r="290" spans="1:39" x14ac:dyDescent="0.35">
      <c r="A290">
        <v>2020</v>
      </c>
      <c r="B290" t="s">
        <v>38</v>
      </c>
      <c r="C290">
        <v>35</v>
      </c>
      <c r="D290" t="s">
        <v>242</v>
      </c>
      <c r="E290">
        <v>80.044571359999992</v>
      </c>
      <c r="G290">
        <v>80.044571359999992</v>
      </c>
      <c r="H290">
        <v>9926500702.4006405</v>
      </c>
      <c r="I290">
        <v>11468687464.004601</v>
      </c>
      <c r="J290">
        <v>-6.2677722796323873E-2</v>
      </c>
      <c r="K290">
        <v>1725.5104004996299</v>
      </c>
      <c r="L290">
        <v>-8.4857857898695932E-2</v>
      </c>
      <c r="M290">
        <v>1885.5108087773101</v>
      </c>
      <c r="N290">
        <v>1.79537147083108</v>
      </c>
      <c r="O290">
        <v>69.3066247188397</v>
      </c>
      <c r="P290">
        <v>15.556436874660699</v>
      </c>
      <c r="Q290">
        <v>17.795001375625301</v>
      </c>
      <c r="R290">
        <v>5752791</v>
      </c>
      <c r="S290">
        <v>2.4236819704803264E-2</v>
      </c>
      <c r="U290">
        <v>3.11</v>
      </c>
      <c r="V290">
        <v>0</v>
      </c>
      <c r="W290">
        <v>0</v>
      </c>
      <c r="X290">
        <v>0</v>
      </c>
      <c r="Y290">
        <v>24.820599999999999</v>
      </c>
      <c r="AJ290">
        <v>-1.119216322898865</v>
      </c>
      <c r="AK290">
        <v>-1.452166676521301</v>
      </c>
      <c r="AL290">
        <v>0.118504025</v>
      </c>
      <c r="AM290">
        <f>VLOOKUP(D290,[1]Sheet1!$C$1:$D$191,2,FALSE)</f>
        <v>35</v>
      </c>
    </row>
    <row r="291" spans="1:39" x14ac:dyDescent="0.35">
      <c r="A291">
        <v>2013</v>
      </c>
      <c r="B291" t="s">
        <v>39</v>
      </c>
      <c r="C291">
        <v>36</v>
      </c>
      <c r="D291" t="s">
        <v>243</v>
      </c>
      <c r="E291">
        <v>12454.565014252201</v>
      </c>
      <c r="G291">
        <v>12454.565014252201</v>
      </c>
      <c r="H291">
        <v>39077544167.6054</v>
      </c>
      <c r="I291">
        <v>42760235484.609299</v>
      </c>
      <c r="J291">
        <v>0.10760213131125594</v>
      </c>
      <c r="K291">
        <v>1632.3271278700599</v>
      </c>
      <c r="L291">
        <v>8.5732243032669325E-2</v>
      </c>
      <c r="M291">
        <v>1503.43433046682</v>
      </c>
      <c r="N291">
        <v>2.58117037252936</v>
      </c>
      <c r="O291">
        <v>58.352679252723398</v>
      </c>
      <c r="P291">
        <v>14.3175686042922</v>
      </c>
      <c r="Q291">
        <v>9.9306016410336504</v>
      </c>
      <c r="R291">
        <v>23939775</v>
      </c>
      <c r="S291">
        <v>2.0142984993700538E-2</v>
      </c>
      <c r="T291">
        <v>65.581000000000003</v>
      </c>
      <c r="U291">
        <v>3.25</v>
      </c>
      <c r="V291">
        <v>5.5702072999999999</v>
      </c>
      <c r="W291">
        <v>3.5465369999999998</v>
      </c>
      <c r="X291">
        <v>53.64199</v>
      </c>
      <c r="Y291">
        <v>6.6</v>
      </c>
      <c r="Z291">
        <v>7.3542650359850903</v>
      </c>
      <c r="AL291">
        <v>5.5029025000000002E-2</v>
      </c>
      <c r="AM291">
        <f>VLOOKUP(D291,[1]Sheet1!$C$1:$D$191,2,FALSE)</f>
        <v>36</v>
      </c>
    </row>
    <row r="292" spans="1:39" x14ac:dyDescent="0.35">
      <c r="A292">
        <v>2014</v>
      </c>
      <c r="B292" t="s">
        <v>39</v>
      </c>
      <c r="C292">
        <v>36</v>
      </c>
      <c r="D292" t="s">
        <v>243</v>
      </c>
      <c r="E292">
        <v>362662.40197218611</v>
      </c>
      <c r="G292">
        <v>362662.40197218605</v>
      </c>
      <c r="H292">
        <v>42739891584.486198</v>
      </c>
      <c r="I292">
        <v>48843005613.709099</v>
      </c>
      <c r="J292">
        <v>9.3719999424038025E-2</v>
      </c>
      <c r="K292">
        <v>1742.53693001178</v>
      </c>
      <c r="L292">
        <v>6.7516982509215034E-2</v>
      </c>
      <c r="M292">
        <v>1632.3271278700599</v>
      </c>
      <c r="N292">
        <v>0.44868207676614102</v>
      </c>
      <c r="O292">
        <v>53.680417561034403</v>
      </c>
      <c r="P292">
        <v>14.6906998099912</v>
      </c>
      <c r="Q292">
        <v>9.2163274972405098</v>
      </c>
      <c r="R292">
        <v>24527395</v>
      </c>
      <c r="S292">
        <v>2.4545761186143145E-2</v>
      </c>
      <c r="U292">
        <v>3.53</v>
      </c>
      <c r="V292">
        <v>6.6079042000000001</v>
      </c>
      <c r="W292">
        <v>2.6096080000000001</v>
      </c>
      <c r="X292">
        <v>61.93</v>
      </c>
      <c r="Y292">
        <v>10</v>
      </c>
      <c r="Z292">
        <v>7.7389765928667096</v>
      </c>
      <c r="AL292">
        <v>0.115184975</v>
      </c>
      <c r="AM292">
        <f>VLOOKUP(D292,[1]Sheet1!$C$1:$D$191,2,FALSE)</f>
        <v>36</v>
      </c>
    </row>
    <row r="293" spans="1:39" x14ac:dyDescent="0.35">
      <c r="A293">
        <v>2015</v>
      </c>
      <c r="B293" t="s">
        <v>39</v>
      </c>
      <c r="C293">
        <v>36</v>
      </c>
      <c r="D293" t="s">
        <v>243</v>
      </c>
      <c r="E293">
        <v>10406.929966123</v>
      </c>
      <c r="G293">
        <v>10406.929966123</v>
      </c>
      <c r="H293">
        <v>45815005169.265099</v>
      </c>
      <c r="I293">
        <v>45815005169.265099</v>
      </c>
      <c r="J293">
        <v>7.1949494272819131E-2</v>
      </c>
      <c r="K293">
        <v>1814.7185508801699</v>
      </c>
      <c r="L293">
        <v>4.1423294752153096E-2</v>
      </c>
      <c r="M293">
        <v>1742.53693001178</v>
      </c>
      <c r="N293">
        <v>1.2514995478147699</v>
      </c>
      <c r="O293">
        <v>52.7128647411445</v>
      </c>
      <c r="P293">
        <v>16.741711629180099</v>
      </c>
      <c r="Q293">
        <v>13.454591215673201</v>
      </c>
      <c r="R293">
        <v>25246342</v>
      </c>
      <c r="S293">
        <v>2.9311999908673548E-2</v>
      </c>
      <c r="U293">
        <v>3.31</v>
      </c>
      <c r="V293">
        <v>6.7537159000000004</v>
      </c>
      <c r="W293">
        <v>3.039425</v>
      </c>
      <c r="X293">
        <v>44.367719999999998</v>
      </c>
      <c r="Y293">
        <v>38.44</v>
      </c>
      <c r="Z293">
        <v>8.4643322459830603</v>
      </c>
      <c r="AL293">
        <v>8.5268449999999996E-2</v>
      </c>
      <c r="AM293">
        <f>VLOOKUP(D293,[1]Sheet1!$C$1:$D$191,2,FALSE)</f>
        <v>36</v>
      </c>
    </row>
    <row r="294" spans="1:39" x14ac:dyDescent="0.35">
      <c r="A294">
        <v>2016</v>
      </c>
      <c r="B294" t="s">
        <v>39</v>
      </c>
      <c r="C294">
        <v>36</v>
      </c>
      <c r="D294" t="s">
        <v>243</v>
      </c>
      <c r="E294">
        <v>16014.851724056</v>
      </c>
      <c r="F294">
        <v>3920000</v>
      </c>
      <c r="G294">
        <v>3936014.8517240561</v>
      </c>
      <c r="H294">
        <v>49101205368.910004</v>
      </c>
      <c r="I294">
        <v>48407761036.823799</v>
      </c>
      <c r="J294">
        <v>7.1727596395633406E-2</v>
      </c>
      <c r="K294">
        <v>1889.2777794993799</v>
      </c>
      <c r="L294">
        <v>4.1085835918218544E-2</v>
      </c>
      <c r="M294">
        <v>1814.7185508801699</v>
      </c>
      <c r="N294">
        <v>0.72317845751321697</v>
      </c>
      <c r="O294">
        <v>47.565578361353502</v>
      </c>
      <c r="P294">
        <v>17.669430799874299</v>
      </c>
      <c r="Q294">
        <v>13.4001933039204</v>
      </c>
      <c r="R294">
        <v>25989405</v>
      </c>
      <c r="S294">
        <v>2.9432501548145074E-2</v>
      </c>
      <c r="T294">
        <v>56.637</v>
      </c>
      <c r="U294">
        <v>3.81</v>
      </c>
      <c r="V294">
        <v>6.8044155000000002</v>
      </c>
      <c r="W294">
        <v>3.0674800000000002</v>
      </c>
      <c r="X294">
        <v>45.081809999999997</v>
      </c>
      <c r="Y294">
        <v>41.207799999999999</v>
      </c>
      <c r="Z294">
        <v>8.8955784570525207</v>
      </c>
      <c r="AL294">
        <v>9.0596024999999997E-2</v>
      </c>
      <c r="AM294">
        <f>VLOOKUP(D294,[1]Sheet1!$C$1:$D$191,2,FALSE)</f>
        <v>36</v>
      </c>
    </row>
    <row r="295" spans="1:39" x14ac:dyDescent="0.35">
      <c r="A295">
        <v>2017</v>
      </c>
      <c r="B295" t="s">
        <v>39</v>
      </c>
      <c r="C295">
        <v>36</v>
      </c>
      <c r="D295" t="s">
        <v>243</v>
      </c>
      <c r="E295">
        <v>5153</v>
      </c>
      <c r="F295">
        <v>50430.25</v>
      </c>
      <c r="G295">
        <v>55583.25</v>
      </c>
      <c r="H295">
        <v>52739979047.065498</v>
      </c>
      <c r="I295">
        <v>52512343996.690002</v>
      </c>
      <c r="J295">
        <v>7.4107624259250882E-2</v>
      </c>
      <c r="K295">
        <v>1972.81431788947</v>
      </c>
      <c r="L295">
        <v>4.4216122846808453E-2</v>
      </c>
      <c r="M295">
        <v>1889.2777794993799</v>
      </c>
      <c r="N295">
        <v>0.68588106530460302</v>
      </c>
      <c r="O295">
        <v>48.662507472948199</v>
      </c>
      <c r="P295">
        <v>19.2505134817876</v>
      </c>
      <c r="Q295">
        <v>14.947205988334201</v>
      </c>
      <c r="R295">
        <v>26733372</v>
      </c>
      <c r="S295">
        <v>2.862578039012436E-2</v>
      </c>
      <c r="T295">
        <v>66.350999999999999</v>
      </c>
      <c r="U295">
        <v>3.93</v>
      </c>
      <c r="V295">
        <v>7.1039466999999998</v>
      </c>
      <c r="W295">
        <v>4.0886250000000004</v>
      </c>
      <c r="X295">
        <v>44.397680000000001</v>
      </c>
      <c r="Y295">
        <v>43.8399</v>
      </c>
      <c r="Z295">
        <v>9.5248876887262099</v>
      </c>
      <c r="AL295">
        <v>0.10457320000000001</v>
      </c>
      <c r="AM295">
        <f>VLOOKUP(D295,[1]Sheet1!$C$1:$D$191,2,FALSE)</f>
        <v>36</v>
      </c>
    </row>
    <row r="296" spans="1:39" x14ac:dyDescent="0.35">
      <c r="A296">
        <v>2018</v>
      </c>
      <c r="B296" t="s">
        <v>39</v>
      </c>
      <c r="C296">
        <v>36</v>
      </c>
      <c r="D296" t="s">
        <v>243</v>
      </c>
      <c r="E296">
        <v>2224.7600000000002</v>
      </c>
      <c r="F296">
        <v>944919.99999999988</v>
      </c>
      <c r="G296">
        <v>947144.75999999989</v>
      </c>
      <c r="H296">
        <v>55294253263.743797</v>
      </c>
      <c r="I296">
        <v>58522477786.688904</v>
      </c>
      <c r="J296">
        <v>4.8431460588917716E-2</v>
      </c>
      <c r="K296">
        <v>2013.3230759849901</v>
      </c>
      <c r="L296">
        <v>2.0533487479377492E-2</v>
      </c>
      <c r="M296">
        <v>1972.81431788947</v>
      </c>
      <c r="N296">
        <v>0.35940903138067698</v>
      </c>
      <c r="O296">
        <v>46.037508710287398</v>
      </c>
      <c r="P296">
        <v>19.274827827380602</v>
      </c>
      <c r="Q296">
        <v>14.737041783624401</v>
      </c>
      <c r="R296">
        <v>27464173</v>
      </c>
      <c r="S296">
        <v>2.733665622129524E-2</v>
      </c>
      <c r="U296">
        <v>4.1500000000000004</v>
      </c>
      <c r="V296">
        <v>6.8975220999999998</v>
      </c>
      <c r="W296">
        <v>3.9859710000000002</v>
      </c>
      <c r="X296">
        <v>42.106830000000002</v>
      </c>
      <c r="Y296">
        <v>37.546500000000002</v>
      </c>
      <c r="AL296">
        <v>6.5877524999999992E-2</v>
      </c>
      <c r="AM296">
        <f>VLOOKUP(D296,[1]Sheet1!$C$1:$D$191,2,FALSE)</f>
        <v>36</v>
      </c>
    </row>
    <row r="297" spans="1:39" x14ac:dyDescent="0.35">
      <c r="A297">
        <v>2019</v>
      </c>
      <c r="B297" t="s">
        <v>39</v>
      </c>
      <c r="C297">
        <v>36</v>
      </c>
      <c r="D297" t="s">
        <v>243</v>
      </c>
      <c r="E297">
        <v>282539.58523074997</v>
      </c>
      <c r="F297">
        <v>15813164.50921236</v>
      </c>
      <c r="G297">
        <v>16095704.094443109</v>
      </c>
      <c r="H297">
        <v>59010785540.985703</v>
      </c>
      <c r="I297">
        <v>60382894697.355698</v>
      </c>
      <c r="J297">
        <v>6.7213716758497563E-2</v>
      </c>
      <c r="K297">
        <v>2093.0999433577899</v>
      </c>
      <c r="L297">
        <v>3.9624473749087764E-2</v>
      </c>
      <c r="M297">
        <v>2013.3230759849901</v>
      </c>
      <c r="N297">
        <v>-1.10686343994188</v>
      </c>
      <c r="O297">
        <v>44.660410583079504</v>
      </c>
      <c r="P297">
        <v>19.047672198888701</v>
      </c>
      <c r="Q297">
        <v>13.627108654380599</v>
      </c>
      <c r="R297">
        <v>28193009</v>
      </c>
      <c r="S297">
        <v>2.6537700589054695E-2</v>
      </c>
      <c r="T297">
        <v>50.826999999999998</v>
      </c>
      <c r="U297">
        <v>4.05</v>
      </c>
      <c r="V297">
        <v>6.0044152000000004</v>
      </c>
      <c r="W297">
        <v>4.1535669999999998</v>
      </c>
      <c r="X297">
        <v>43.402709999999999</v>
      </c>
      <c r="Y297">
        <v>36.289000000000001</v>
      </c>
      <c r="Z297">
        <v>10.325698163974099</v>
      </c>
      <c r="AL297">
        <v>0.102878525</v>
      </c>
      <c r="AM297">
        <f>VLOOKUP(D297,[1]Sheet1!$C$1:$D$191,2,FALSE)</f>
        <v>36</v>
      </c>
    </row>
    <row r="298" spans="1:39" x14ac:dyDescent="0.35">
      <c r="A298">
        <v>2020</v>
      </c>
      <c r="B298" t="s">
        <v>39</v>
      </c>
      <c r="C298">
        <v>36</v>
      </c>
      <c r="D298" t="s">
        <v>243</v>
      </c>
      <c r="E298">
        <v>173793.02519161999</v>
      </c>
      <c r="G298">
        <v>173793.02519162002</v>
      </c>
      <c r="H298">
        <v>59423700880.661499</v>
      </c>
      <c r="I298">
        <v>63027852805.420403</v>
      </c>
      <c r="J298">
        <v>6.9972859349416361E-3</v>
      </c>
      <c r="K298">
        <v>2055.0848399643201</v>
      </c>
      <c r="L298">
        <v>-1.8162106168941618E-2</v>
      </c>
      <c r="M298">
        <v>2093.0999433577899</v>
      </c>
      <c r="N298">
        <v>2.4250065682181501</v>
      </c>
      <c r="O298">
        <v>41.9426318190526</v>
      </c>
      <c r="P298">
        <v>20.573802494308499</v>
      </c>
      <c r="Q298">
        <v>16.0320683194889</v>
      </c>
      <c r="R298">
        <v>28915449</v>
      </c>
      <c r="S298">
        <v>2.5624792302233506E-2</v>
      </c>
      <c r="U298">
        <v>4.1100000000000003</v>
      </c>
      <c r="V298">
        <v>7.3044001999999999</v>
      </c>
      <c r="W298">
        <v>4.2929649999999997</v>
      </c>
      <c r="X298">
        <v>42.220779999999998</v>
      </c>
      <c r="Y298">
        <v>36.016599999999997</v>
      </c>
      <c r="Z298">
        <v>10.266409134584899</v>
      </c>
      <c r="AL298">
        <v>0.12562282499999999</v>
      </c>
      <c r="AM298">
        <f>VLOOKUP(D298,[1]Sheet1!$C$1:$D$191,2,FALSE)</f>
        <v>36</v>
      </c>
    </row>
    <row r="299" spans="1:39" x14ac:dyDescent="0.35">
      <c r="A299">
        <v>2013</v>
      </c>
      <c r="B299" t="s">
        <v>40</v>
      </c>
      <c r="C299">
        <v>37</v>
      </c>
      <c r="D299" s="2" t="s">
        <v>348</v>
      </c>
      <c r="E299">
        <v>26599</v>
      </c>
      <c r="G299">
        <v>26599</v>
      </c>
      <c r="H299">
        <v>82564971264.272903</v>
      </c>
      <c r="I299">
        <v>77148000000</v>
      </c>
      <c r="J299">
        <v>2.7476025625720497E-2</v>
      </c>
      <c r="K299">
        <v>7307.8200441074096</v>
      </c>
      <c r="L299">
        <v>2.7931462329421071E-2</v>
      </c>
      <c r="M299">
        <v>7109.2483418563497</v>
      </c>
      <c r="O299">
        <v>44.323896925390201</v>
      </c>
      <c r="R299">
        <v>11298167</v>
      </c>
      <c r="S299">
        <v>-4.4306135223067856E-4</v>
      </c>
      <c r="U299">
        <v>3.52</v>
      </c>
      <c r="V299">
        <v>0</v>
      </c>
      <c r="W299">
        <v>0</v>
      </c>
      <c r="X299">
        <v>0</v>
      </c>
      <c r="Y299">
        <v>27.93</v>
      </c>
      <c r="Z299">
        <v>47.993838866824603</v>
      </c>
      <c r="AJ299">
        <v>-0.69894266128540039</v>
      </c>
      <c r="AK299">
        <v>-1.580737233161926</v>
      </c>
      <c r="AM299">
        <f>VLOOKUP(D299,[1]Sheet1!$C$1:$D$191,2,FALSE)</f>
        <v>37</v>
      </c>
    </row>
    <row r="300" spans="1:39" x14ac:dyDescent="0.35">
      <c r="A300">
        <v>2014</v>
      </c>
      <c r="B300" t="s">
        <v>40</v>
      </c>
      <c r="C300">
        <v>37</v>
      </c>
      <c r="D300" s="2" t="s">
        <v>348</v>
      </c>
      <c r="E300">
        <v>11869</v>
      </c>
      <c r="G300">
        <v>11869</v>
      </c>
      <c r="H300">
        <v>83429902609.352997</v>
      </c>
      <c r="I300">
        <v>80656100000</v>
      </c>
      <c r="J300">
        <v>1.0475766318765281E-2</v>
      </c>
      <c r="K300">
        <v>7392.48324633027</v>
      </c>
      <c r="L300">
        <v>1.1585288322901144E-2</v>
      </c>
      <c r="M300">
        <v>7307.8200441074096</v>
      </c>
      <c r="O300">
        <v>39.274152853906898</v>
      </c>
      <c r="R300">
        <v>11285775</v>
      </c>
      <c r="S300">
        <v>-1.0968150851372617E-3</v>
      </c>
      <c r="U300">
        <v>3.52</v>
      </c>
      <c r="V300">
        <v>0</v>
      </c>
      <c r="W300">
        <v>0</v>
      </c>
      <c r="X300">
        <v>0</v>
      </c>
      <c r="Y300">
        <v>29.0702</v>
      </c>
      <c r="Z300">
        <v>40.805721425326098</v>
      </c>
      <c r="AJ300">
        <v>-0.65489953756332397</v>
      </c>
      <c r="AK300">
        <v>-1.324815988540649</v>
      </c>
      <c r="AM300">
        <f>VLOOKUP(D300,[1]Sheet1!$C$1:$D$191,2,FALSE)</f>
        <v>37</v>
      </c>
    </row>
    <row r="301" spans="1:39" x14ac:dyDescent="0.35">
      <c r="A301">
        <v>2015</v>
      </c>
      <c r="B301" t="s">
        <v>40</v>
      </c>
      <c r="C301">
        <v>37</v>
      </c>
      <c r="D301" s="2" t="s">
        <v>348</v>
      </c>
      <c r="E301">
        <v>142362</v>
      </c>
      <c r="G301">
        <v>142362</v>
      </c>
      <c r="H301">
        <v>87132800000</v>
      </c>
      <c r="I301">
        <v>87132800000</v>
      </c>
      <c r="J301">
        <v>4.4383335888395083E-2</v>
      </c>
      <c r="K301">
        <v>7727.9199720799797</v>
      </c>
      <c r="L301">
        <v>4.5375378553103259E-2</v>
      </c>
      <c r="M301">
        <v>7392.48324633027</v>
      </c>
      <c r="O301">
        <v>31.613812479341899</v>
      </c>
      <c r="R301">
        <v>11275065</v>
      </c>
      <c r="S301">
        <v>-9.4898223648796822E-4</v>
      </c>
      <c r="U301">
        <v>3.52</v>
      </c>
      <c r="V301">
        <v>0</v>
      </c>
      <c r="W301">
        <v>0.91426989999999997</v>
      </c>
      <c r="X301">
        <v>100</v>
      </c>
      <c r="Y301">
        <v>37.305100000000003</v>
      </c>
      <c r="Z301">
        <v>36.751027684209902</v>
      </c>
      <c r="AJ301">
        <v>-0.71814841032028198</v>
      </c>
      <c r="AK301">
        <v>-1.2492725849151609</v>
      </c>
      <c r="AM301">
        <f>VLOOKUP(D301,[1]Sheet1!$C$1:$D$191,2,FALSE)</f>
        <v>37</v>
      </c>
    </row>
    <row r="302" spans="1:39" x14ac:dyDescent="0.35">
      <c r="A302">
        <v>2016</v>
      </c>
      <c r="B302" t="s">
        <v>40</v>
      </c>
      <c r="C302">
        <v>37</v>
      </c>
      <c r="D302" s="2" t="s">
        <v>348</v>
      </c>
      <c r="E302">
        <v>221938.78348000001</v>
      </c>
      <c r="G302">
        <v>221938.78348000001</v>
      </c>
      <c r="H302">
        <v>87579654548.890701</v>
      </c>
      <c r="I302">
        <v>91370407863.699997</v>
      </c>
      <c r="J302">
        <v>5.1284309570070203E-3</v>
      </c>
      <c r="K302">
        <v>7774.0698462623004</v>
      </c>
      <c r="L302">
        <v>5.9718364513419485E-3</v>
      </c>
      <c r="M302">
        <v>7727.9199720799797</v>
      </c>
      <c r="O302">
        <v>27.269222697536801</v>
      </c>
      <c r="R302">
        <v>11265612</v>
      </c>
      <c r="S302">
        <v>-8.3839871433113685E-4</v>
      </c>
      <c r="U302">
        <v>3.46</v>
      </c>
      <c r="V302">
        <v>0</v>
      </c>
      <c r="W302">
        <v>0.80880490000000005</v>
      </c>
      <c r="X302">
        <v>100</v>
      </c>
      <c r="Y302">
        <v>42.978700000000003</v>
      </c>
      <c r="Z302">
        <v>35.052398681640597</v>
      </c>
      <c r="AJ302">
        <v>-0.45885944366455078</v>
      </c>
      <c r="AK302">
        <v>-1.3551807403564451</v>
      </c>
      <c r="AM302">
        <f>VLOOKUP(D302,[1]Sheet1!$C$1:$D$191,2,FALSE)</f>
        <v>37</v>
      </c>
    </row>
    <row r="303" spans="1:39" x14ac:dyDescent="0.35">
      <c r="A303">
        <v>2017</v>
      </c>
      <c r="B303" t="s">
        <v>40</v>
      </c>
      <c r="C303">
        <v>37</v>
      </c>
      <c r="D303" s="2" t="s">
        <v>348</v>
      </c>
      <c r="E303">
        <v>107729.15403000001</v>
      </c>
      <c r="G303">
        <v>107729.15403000001</v>
      </c>
      <c r="H303">
        <v>89164663930.9702</v>
      </c>
      <c r="I303">
        <v>96850649691.740601</v>
      </c>
      <c r="J303">
        <v>1.8097917721229175E-2</v>
      </c>
      <c r="K303">
        <v>7927.2776934082303</v>
      </c>
      <c r="L303">
        <v>1.970754703465789E-2</v>
      </c>
      <c r="M303">
        <v>7774.0698462623004</v>
      </c>
      <c r="O303">
        <v>26.222849388036501</v>
      </c>
      <c r="R303">
        <v>11247829</v>
      </c>
      <c r="S303">
        <v>-1.5785205455327237E-3</v>
      </c>
      <c r="U303">
        <v>3.31</v>
      </c>
      <c r="V303">
        <v>0</v>
      </c>
      <c r="W303">
        <v>1.4559679999999999</v>
      </c>
      <c r="X303">
        <v>99.973789999999994</v>
      </c>
      <c r="Y303">
        <v>57.148400000000002</v>
      </c>
      <c r="Z303">
        <v>41.170241654729303</v>
      </c>
      <c r="AJ303">
        <v>-0.44970205426216131</v>
      </c>
      <c r="AK303">
        <v>-1.3514808416366579</v>
      </c>
      <c r="AM303">
        <f>VLOOKUP(D303,[1]Sheet1!$C$1:$D$191,2,FALSE)</f>
        <v>37</v>
      </c>
    </row>
    <row r="304" spans="1:39" x14ac:dyDescent="0.35">
      <c r="A304">
        <v>2018</v>
      </c>
      <c r="B304" t="s">
        <v>40</v>
      </c>
      <c r="C304">
        <v>37</v>
      </c>
      <c r="D304" s="2" t="s">
        <v>348</v>
      </c>
      <c r="E304">
        <v>6881</v>
      </c>
      <c r="G304">
        <v>6881</v>
      </c>
      <c r="H304">
        <v>91169039692.771194</v>
      </c>
      <c r="I304">
        <v>100050036096.123</v>
      </c>
      <c r="J304">
        <v>2.247948540862274E-2</v>
      </c>
      <c r="K304">
        <v>8120.4312355825596</v>
      </c>
      <c r="L304">
        <v>2.436568386331946E-2</v>
      </c>
      <c r="M304">
        <v>7927.2776934082303</v>
      </c>
      <c r="O304">
        <v>27.083448499675299</v>
      </c>
      <c r="R304">
        <v>11227118</v>
      </c>
      <c r="S304">
        <v>-1.8413331141502952E-3</v>
      </c>
      <c r="U304">
        <v>3</v>
      </c>
      <c r="V304">
        <v>0</v>
      </c>
      <c r="W304">
        <v>1.814889</v>
      </c>
      <c r="X304">
        <v>99.970870000000005</v>
      </c>
      <c r="Y304">
        <v>62.678899999999999</v>
      </c>
      <c r="Z304">
        <v>42.350638704536401</v>
      </c>
      <c r="AJ304">
        <v>-0.46379205584526062</v>
      </c>
      <c r="AK304">
        <v>-1.4793422222137449</v>
      </c>
      <c r="AM304">
        <f>VLOOKUP(D304,[1]Sheet1!$C$1:$D$191,2,FALSE)</f>
        <v>37</v>
      </c>
    </row>
    <row r="305" spans="1:39" x14ac:dyDescent="0.35">
      <c r="A305">
        <v>2020</v>
      </c>
      <c r="B305" t="s">
        <v>40</v>
      </c>
      <c r="C305">
        <v>37</v>
      </c>
      <c r="D305" s="2" t="s">
        <v>348</v>
      </c>
      <c r="E305">
        <v>4932.3894885</v>
      </c>
      <c r="G305">
        <v>4932.3894885</v>
      </c>
      <c r="H305">
        <v>81054459000.258698</v>
      </c>
      <c r="I305">
        <v>107351800000</v>
      </c>
      <c r="J305">
        <v>-0.10949084604886171</v>
      </c>
      <c r="K305">
        <v>7252.31672155863</v>
      </c>
      <c r="L305">
        <v>-0.10738001737374456</v>
      </c>
      <c r="M305">
        <v>8124.7528205910803</v>
      </c>
      <c r="O305">
        <v>15.683016027677199</v>
      </c>
      <c r="R305">
        <v>11176354</v>
      </c>
      <c r="S305">
        <v>-2.364756241405086E-3</v>
      </c>
      <c r="U305">
        <v>2.84</v>
      </c>
      <c r="V305">
        <v>0</v>
      </c>
      <c r="W305">
        <v>1.834246</v>
      </c>
      <c r="X305">
        <v>99.960449999999994</v>
      </c>
      <c r="Y305">
        <v>71.119100000000003</v>
      </c>
      <c r="Z305">
        <v>46.735726296411698</v>
      </c>
      <c r="AJ305">
        <v>-0.28538504242897028</v>
      </c>
      <c r="AK305">
        <v>-1.5304634571075439</v>
      </c>
      <c r="AM305">
        <f>VLOOKUP(D305,[1]Sheet1!$C$1:$D$191,2,FALSE)</f>
        <v>37</v>
      </c>
    </row>
    <row r="306" spans="1:39" x14ac:dyDescent="0.35">
      <c r="A306">
        <v>2013</v>
      </c>
      <c r="B306" t="s">
        <v>41</v>
      </c>
      <c r="C306">
        <v>38</v>
      </c>
      <c r="E306">
        <v>1300000</v>
      </c>
      <c r="G306">
        <v>1300000</v>
      </c>
      <c r="H306">
        <v>3064361444.8473001</v>
      </c>
      <c r="I306">
        <v>3033568603.3519602</v>
      </c>
      <c r="J306">
        <v>-6.3569690759098215E-3</v>
      </c>
      <c r="K306">
        <v>19921.477063406401</v>
      </c>
      <c r="L306">
        <v>-1.7558078251594555E-2</v>
      </c>
      <c r="M306">
        <v>20277.5111916571</v>
      </c>
      <c r="N306">
        <v>1.3323208615211699</v>
      </c>
      <c r="O306">
        <v>166.40614908657599</v>
      </c>
      <c r="R306">
        <v>153822</v>
      </c>
      <c r="S306">
        <v>1.1401293987691337E-2</v>
      </c>
      <c r="AM306">
        <f>VLOOKUP(D306,[1]Sheet1!$C$1:$D$191,2,FALSE)</f>
        <v>38</v>
      </c>
    </row>
    <row r="307" spans="1:39" x14ac:dyDescent="0.35">
      <c r="A307">
        <v>2014</v>
      </c>
      <c r="B307" t="s">
        <v>41</v>
      </c>
      <c r="C307">
        <v>38</v>
      </c>
      <c r="E307">
        <v>3202900</v>
      </c>
      <c r="G307">
        <v>3202900</v>
      </c>
      <c r="H307">
        <v>3044829285.4885898</v>
      </c>
      <c r="I307">
        <v>3059406983.2402201</v>
      </c>
      <c r="J307">
        <v>-6.3739737332727062E-3</v>
      </c>
      <c r="K307">
        <v>19529.528670497501</v>
      </c>
      <c r="L307">
        <v>-1.9674665270120305E-2</v>
      </c>
      <c r="M307">
        <v>19921.477063406401</v>
      </c>
      <c r="N307">
        <v>1.4987396961643</v>
      </c>
      <c r="O307">
        <v>164.35981815221999</v>
      </c>
      <c r="R307">
        <v>155909</v>
      </c>
      <c r="S307">
        <v>1.3567630117928515E-2</v>
      </c>
      <c r="AM307">
        <f>VLOOKUP(D307,[1]Sheet1!$C$1:$D$191,2,FALSE)</f>
        <v>38</v>
      </c>
    </row>
    <row r="308" spans="1:39" x14ac:dyDescent="0.35">
      <c r="A308">
        <v>2015</v>
      </c>
      <c r="B308" t="s">
        <v>41</v>
      </c>
      <c r="C308">
        <v>38</v>
      </c>
      <c r="E308">
        <v>14264108</v>
      </c>
      <c r="G308">
        <v>14264108</v>
      </c>
      <c r="H308">
        <v>3058779217.87709</v>
      </c>
      <c r="I308">
        <v>3058779217.87709</v>
      </c>
      <c r="J308">
        <v>4.5815154415994562E-3</v>
      </c>
      <c r="K308">
        <v>19361.813000867802</v>
      </c>
      <c r="L308">
        <v>-8.5877991455605568E-3</v>
      </c>
      <c r="M308">
        <v>19529.528670497501</v>
      </c>
      <c r="N308">
        <v>-0.47654204980140502</v>
      </c>
      <c r="O308">
        <v>148.31381592554101</v>
      </c>
      <c r="R308">
        <v>157980</v>
      </c>
      <c r="S308">
        <v>1.3283389669614967E-2</v>
      </c>
      <c r="AM308">
        <f>VLOOKUP(D308,[1]Sheet1!$C$1:$D$191,2,FALSE)</f>
        <v>38</v>
      </c>
    </row>
    <row r="309" spans="1:39" x14ac:dyDescent="0.35">
      <c r="A309">
        <v>2017</v>
      </c>
      <c r="B309" t="s">
        <v>41</v>
      </c>
      <c r="C309">
        <v>38</v>
      </c>
      <c r="E309">
        <v>8836</v>
      </c>
      <c r="G309">
        <v>8836</v>
      </c>
      <c r="H309">
        <v>2987500779.2465501</v>
      </c>
      <c r="I309">
        <v>3033433240.2234602</v>
      </c>
      <c r="J309">
        <v>-1.2762081008494937E-2</v>
      </c>
      <c r="K309">
        <v>18651.4798142441</v>
      </c>
      <c r="L309">
        <v>-1.5911627296020449E-2</v>
      </c>
      <c r="M309">
        <v>18953.053741500298</v>
      </c>
      <c r="N309">
        <v>1.58558801700345</v>
      </c>
      <c r="O309">
        <v>139.812449543914</v>
      </c>
      <c r="R309">
        <v>160175</v>
      </c>
      <c r="S309">
        <v>3.200470989077062E-3</v>
      </c>
      <c r="AM309">
        <f>VLOOKUP(D309,[1]Sheet1!$C$1:$D$191,2,FALSE)</f>
        <v>38</v>
      </c>
    </row>
    <row r="310" spans="1:39" x14ac:dyDescent="0.35">
      <c r="A310">
        <v>2018</v>
      </c>
      <c r="B310" t="s">
        <v>41</v>
      </c>
      <c r="C310">
        <v>38</v>
      </c>
      <c r="E310">
        <v>4721.3599999999997</v>
      </c>
      <c r="G310">
        <v>4721.3599999999997</v>
      </c>
      <c r="H310">
        <v>2924640436.8364</v>
      </c>
      <c r="I310">
        <v>3046364804.4692702</v>
      </c>
      <c r="J310">
        <v>-2.1041113310103797E-2</v>
      </c>
      <c r="K310">
        <v>18355.176713588899</v>
      </c>
      <c r="L310">
        <v>-1.5886305194342535E-2</v>
      </c>
      <c r="M310">
        <v>18651.4798142441</v>
      </c>
      <c r="N310">
        <v>2.5836875664181398</v>
      </c>
      <c r="O310">
        <v>155.26885877168701</v>
      </c>
      <c r="R310">
        <v>159336</v>
      </c>
      <c r="S310">
        <v>-5.238020914624629E-3</v>
      </c>
      <c r="T310">
        <v>27.31</v>
      </c>
      <c r="AM310">
        <f>VLOOKUP(D310,[1]Sheet1!$C$1:$D$191,2,FALSE)</f>
        <v>38</v>
      </c>
    </row>
    <row r="311" spans="1:39" x14ac:dyDescent="0.35">
      <c r="A311">
        <v>2020</v>
      </c>
      <c r="B311" t="s">
        <v>41</v>
      </c>
      <c r="C311">
        <v>38</v>
      </c>
      <c r="E311">
        <v>5121.05</v>
      </c>
      <c r="G311">
        <v>5121.05</v>
      </c>
      <c r="H311">
        <v>2308902993.4933701</v>
      </c>
      <c r="I311">
        <v>2534327597.7653599</v>
      </c>
      <c r="J311">
        <v>-0.18438470350539443</v>
      </c>
      <c r="K311">
        <v>14901.2436090623</v>
      </c>
      <c r="L311">
        <v>-0.17125670135331653</v>
      </c>
      <c r="M311">
        <v>17980.529837641701</v>
      </c>
      <c r="R311">
        <v>154947</v>
      </c>
      <c r="S311">
        <v>-1.5840854669368208E-2</v>
      </c>
      <c r="T311">
        <v>43.25</v>
      </c>
      <c r="AM311">
        <f>VLOOKUP(D311,[1]Sheet1!$C$1:$D$191,2,FALSE)</f>
        <v>38</v>
      </c>
    </row>
    <row r="312" spans="1:39" x14ac:dyDescent="0.35">
      <c r="A312">
        <v>2013</v>
      </c>
      <c r="B312" t="s">
        <v>42</v>
      </c>
      <c r="C312">
        <v>39</v>
      </c>
      <c r="D312" t="s">
        <v>244</v>
      </c>
      <c r="E312">
        <v>313267.9717439987</v>
      </c>
      <c r="G312">
        <v>313267.9717439987</v>
      </c>
      <c r="H312">
        <v>176216894679.608</v>
      </c>
      <c r="I312">
        <v>213024360541.11899</v>
      </c>
      <c r="J312">
        <v>-4.1812407809084371E-4</v>
      </c>
      <c r="K312">
        <v>16759.7808654377</v>
      </c>
      <c r="L312">
        <v>-7.4962986387916029E-4</v>
      </c>
      <c r="M312">
        <v>16772.353922825801</v>
      </c>
      <c r="N312">
        <v>1.4382978723404001</v>
      </c>
      <c r="O312">
        <v>145.50223062496099</v>
      </c>
      <c r="P312">
        <v>50.289864910406799</v>
      </c>
      <c r="Q312">
        <v>34.515740064010402</v>
      </c>
      <c r="R312">
        <v>10514272</v>
      </c>
      <c r="S312">
        <v>3.3175447885196017E-4</v>
      </c>
      <c r="T312">
        <v>21.056999999999999</v>
      </c>
      <c r="U312">
        <v>8.06</v>
      </c>
      <c r="V312">
        <v>49.046421000000002</v>
      </c>
      <c r="W312">
        <v>2.6298970000000002</v>
      </c>
      <c r="X312">
        <v>60.625770000000003</v>
      </c>
      <c r="Y312">
        <v>74.110399999999998</v>
      </c>
      <c r="Z312">
        <v>66.324317932128906</v>
      </c>
      <c r="AJ312">
        <v>1.023870587348938</v>
      </c>
      <c r="AK312">
        <v>1.078564047813416</v>
      </c>
      <c r="AL312">
        <v>3.9978624999999997E-2</v>
      </c>
      <c r="AM312">
        <f>VLOOKUP(D312,[1]Sheet1!$C$1:$D$191,2,FALSE)</f>
        <v>39</v>
      </c>
    </row>
    <row r="313" spans="1:39" x14ac:dyDescent="0.35">
      <c r="A313">
        <v>2014</v>
      </c>
      <c r="B313" t="s">
        <v>42</v>
      </c>
      <c r="C313">
        <v>39</v>
      </c>
      <c r="D313" t="s">
        <v>244</v>
      </c>
      <c r="E313">
        <v>626726.05631999869</v>
      </c>
      <c r="G313">
        <v>644262.65231999871</v>
      </c>
      <c r="H313">
        <v>180173337872.85901</v>
      </c>
      <c r="I313">
        <v>210911285077.68301</v>
      </c>
      <c r="J313">
        <v>2.2452121860645016E-2</v>
      </c>
      <c r="K313">
        <v>17118.042556968401</v>
      </c>
      <c r="L313">
        <v>2.1376275406411429E-2</v>
      </c>
      <c r="M313">
        <v>16759.7808654377</v>
      </c>
      <c r="N313">
        <v>0.34398858964679402</v>
      </c>
      <c r="O313">
        <v>156.41512282688601</v>
      </c>
      <c r="P313">
        <v>49.0926941934326</v>
      </c>
      <c r="Q313">
        <v>34.217475549858399</v>
      </c>
      <c r="R313">
        <v>10525347</v>
      </c>
      <c r="S313">
        <v>1.0533301782567543E-3</v>
      </c>
      <c r="T313">
        <v>20.771000000000001</v>
      </c>
      <c r="U313">
        <v>7.94</v>
      </c>
      <c r="V313">
        <v>49.588344999999997</v>
      </c>
      <c r="W313">
        <v>2.413189</v>
      </c>
      <c r="X313">
        <v>59.443370000000002</v>
      </c>
      <c r="Y313">
        <v>74.231700000000004</v>
      </c>
      <c r="Z313">
        <v>67.395973205566406</v>
      </c>
      <c r="AA313">
        <v>2018</v>
      </c>
      <c r="AB313">
        <v>2019</v>
      </c>
      <c r="AC313">
        <v>0</v>
      </c>
      <c r="AD313">
        <v>0</v>
      </c>
      <c r="AE313">
        <v>1</v>
      </c>
      <c r="AF313">
        <v>1</v>
      </c>
      <c r="AJ313">
        <v>1.1388721466064451</v>
      </c>
      <c r="AK313">
        <v>1.0013934373855591</v>
      </c>
      <c r="AL313">
        <v>3.3848400000000001E-2</v>
      </c>
      <c r="AM313">
        <f>VLOOKUP(D313,[1]Sheet1!$C$1:$D$191,2,FALSE)</f>
        <v>39</v>
      </c>
    </row>
    <row r="314" spans="1:39" x14ac:dyDescent="0.35">
      <c r="A314">
        <v>2015</v>
      </c>
      <c r="B314" t="s">
        <v>42</v>
      </c>
      <c r="C314">
        <v>39</v>
      </c>
      <c r="D314" t="s">
        <v>244</v>
      </c>
      <c r="E314">
        <v>2134140.0051230001</v>
      </c>
      <c r="F314">
        <v>7934716.0279999999</v>
      </c>
      <c r="G314">
        <v>10068856.033123</v>
      </c>
      <c r="H314">
        <v>189107698561.91901</v>
      </c>
      <c r="I314">
        <v>189107698561.91901</v>
      </c>
      <c r="J314">
        <v>4.9587584903181471E-2</v>
      </c>
      <c r="K314">
        <v>17931.598767076801</v>
      </c>
      <c r="L314">
        <v>4.7526240655197914E-2</v>
      </c>
      <c r="M314">
        <v>17118.042556968401</v>
      </c>
      <c r="N314">
        <v>0.30936454849497502</v>
      </c>
      <c r="O314">
        <v>154.01840099763299</v>
      </c>
      <c r="P314">
        <v>49.260449635443202</v>
      </c>
      <c r="Q314">
        <v>33.069300077195699</v>
      </c>
      <c r="R314">
        <v>10546059</v>
      </c>
      <c r="S314">
        <v>1.9678211084157128E-3</v>
      </c>
      <c r="T314">
        <v>20.626999999999999</v>
      </c>
      <c r="U314">
        <v>7.94</v>
      </c>
      <c r="V314">
        <v>50.859529000000002</v>
      </c>
      <c r="W314">
        <v>2.2960500000000001</v>
      </c>
      <c r="X314">
        <v>61.219439999999999</v>
      </c>
      <c r="Y314">
        <v>75.668800000000005</v>
      </c>
      <c r="Z314">
        <v>67.230361938476605</v>
      </c>
      <c r="AA314">
        <v>2018</v>
      </c>
      <c r="AB314">
        <v>2019</v>
      </c>
      <c r="AC314">
        <v>0</v>
      </c>
      <c r="AD314">
        <v>0</v>
      </c>
      <c r="AE314">
        <v>1</v>
      </c>
      <c r="AF314">
        <v>1</v>
      </c>
      <c r="AJ314">
        <v>1.107087373733521</v>
      </c>
      <c r="AK314">
        <v>1.083915233612061</v>
      </c>
      <c r="AL314">
        <v>3.4819175000000001E-2</v>
      </c>
      <c r="AM314">
        <f>VLOOKUP(D314,[1]Sheet1!$C$1:$D$191,2,FALSE)</f>
        <v>39</v>
      </c>
    </row>
    <row r="315" spans="1:39" x14ac:dyDescent="0.35">
      <c r="A315">
        <v>2016</v>
      </c>
      <c r="B315" t="s">
        <v>42</v>
      </c>
      <c r="C315">
        <v>39</v>
      </c>
      <c r="D315" t="s">
        <v>244</v>
      </c>
      <c r="E315">
        <v>3910139.807713652</v>
      </c>
      <c r="F315">
        <v>30872930.126561999</v>
      </c>
      <c r="G315">
        <v>34783069.934275657</v>
      </c>
      <c r="H315">
        <v>193988322699.32401</v>
      </c>
      <c r="I315">
        <v>198160659303.939</v>
      </c>
      <c r="J315">
        <v>2.5808701467576422E-2</v>
      </c>
      <c r="K315">
        <v>18359.097811740499</v>
      </c>
      <c r="L315">
        <v>2.3840542620695116E-2</v>
      </c>
      <c r="M315">
        <v>17931.598767076801</v>
      </c>
      <c r="N315">
        <v>0.683504209385703</v>
      </c>
      <c r="O315">
        <v>148.54700466443501</v>
      </c>
      <c r="P315">
        <v>50.572183116767803</v>
      </c>
      <c r="Q315">
        <v>32.522594326279197</v>
      </c>
      <c r="R315">
        <v>10566332</v>
      </c>
      <c r="S315">
        <v>1.9223294692358539E-3</v>
      </c>
      <c r="T315">
        <v>21.477</v>
      </c>
      <c r="U315">
        <v>7.82</v>
      </c>
      <c r="V315">
        <v>52.636313999999999</v>
      </c>
      <c r="W315">
        <v>2.2100029999999999</v>
      </c>
      <c r="X315">
        <v>60.873240000000003</v>
      </c>
      <c r="Y315">
        <v>76.481200000000001</v>
      </c>
      <c r="Z315">
        <v>67.505638122558594</v>
      </c>
      <c r="AA315">
        <v>2018</v>
      </c>
      <c r="AB315">
        <v>2019</v>
      </c>
      <c r="AC315">
        <v>0</v>
      </c>
      <c r="AD315">
        <v>0</v>
      </c>
      <c r="AE315">
        <v>1</v>
      </c>
      <c r="AF315">
        <v>1</v>
      </c>
      <c r="AJ315">
        <v>0.98832696676254272</v>
      </c>
      <c r="AK315">
        <v>0.97371929883956909</v>
      </c>
      <c r="AL315">
        <v>1.8601449999999999E-2</v>
      </c>
      <c r="AM315">
        <f>VLOOKUP(D315,[1]Sheet1!$C$1:$D$191,2,FALSE)</f>
        <v>39</v>
      </c>
    </row>
    <row r="316" spans="1:39" x14ac:dyDescent="0.35">
      <c r="A316">
        <v>2017</v>
      </c>
      <c r="B316" t="s">
        <v>42</v>
      </c>
      <c r="C316">
        <v>39</v>
      </c>
      <c r="D316" t="s">
        <v>244</v>
      </c>
      <c r="E316">
        <v>279977.80823207361</v>
      </c>
      <c r="F316">
        <v>29662806.673973419</v>
      </c>
      <c r="G316">
        <v>29942784.482205488</v>
      </c>
      <c r="H316">
        <v>204024435225.367</v>
      </c>
      <c r="I316">
        <v>221563575696.21701</v>
      </c>
      <c r="J316">
        <v>5.1735652880501824E-2</v>
      </c>
      <c r="K316">
        <v>19257.693067378099</v>
      </c>
      <c r="L316">
        <v>4.8945501835223899E-2</v>
      </c>
      <c r="M316">
        <v>18359.097811740499</v>
      </c>
      <c r="N316">
        <v>2.4505339846014</v>
      </c>
      <c r="O316">
        <v>147.75083485476199</v>
      </c>
      <c r="P316">
        <v>50.232442564154802</v>
      </c>
      <c r="Q316">
        <v>31.386098316698</v>
      </c>
      <c r="R316">
        <v>10594438</v>
      </c>
      <c r="S316">
        <v>2.6599580630250878E-3</v>
      </c>
      <c r="T316">
        <v>21.32</v>
      </c>
      <c r="U316">
        <v>7.62</v>
      </c>
      <c r="V316">
        <v>55.642045000000003</v>
      </c>
      <c r="W316">
        <v>2.07864</v>
      </c>
      <c r="X316">
        <v>62.464280000000002</v>
      </c>
      <c r="Y316">
        <v>78.719200000000001</v>
      </c>
      <c r="Z316">
        <v>67.714218139648395</v>
      </c>
      <c r="AA316">
        <v>2018</v>
      </c>
      <c r="AB316">
        <v>2019</v>
      </c>
      <c r="AC316">
        <v>0</v>
      </c>
      <c r="AD316">
        <v>0</v>
      </c>
      <c r="AE316">
        <v>1</v>
      </c>
      <c r="AF316">
        <v>1</v>
      </c>
      <c r="AJ316">
        <v>1.0885893106460569</v>
      </c>
      <c r="AK316">
        <v>1.222556352615356</v>
      </c>
      <c r="AL316">
        <v>3.4490425000000012E-2</v>
      </c>
      <c r="AM316">
        <f>VLOOKUP(D316,[1]Sheet1!$C$1:$D$191,2,FALSE)</f>
        <v>39</v>
      </c>
    </row>
    <row r="317" spans="1:39" x14ac:dyDescent="0.35">
      <c r="A317">
        <v>2018</v>
      </c>
      <c r="B317" t="s">
        <v>42</v>
      </c>
      <c r="C317">
        <v>39</v>
      </c>
      <c r="D317" t="s">
        <v>244</v>
      </c>
      <c r="E317">
        <v>2717602.8333339998</v>
      </c>
      <c r="F317">
        <v>54929794.633474</v>
      </c>
      <c r="G317">
        <v>57647397.466807999</v>
      </c>
      <c r="H317">
        <v>209798950840.99799</v>
      </c>
      <c r="I317">
        <v>251992360762.23599</v>
      </c>
      <c r="J317">
        <v>2.8303058941211653E-2</v>
      </c>
      <c r="K317">
        <v>19736.629527593999</v>
      </c>
      <c r="L317">
        <v>2.4869877120806488E-2</v>
      </c>
      <c r="M317">
        <v>19257.693067378099</v>
      </c>
      <c r="N317">
        <v>2.14949494949493</v>
      </c>
      <c r="O317">
        <v>145.14171789078901</v>
      </c>
      <c r="P317">
        <v>50.718519558791101</v>
      </c>
      <c r="Q317">
        <v>31.8283646893324</v>
      </c>
      <c r="R317">
        <v>10629928</v>
      </c>
      <c r="S317">
        <v>3.3498709417148884E-3</v>
      </c>
      <c r="T317">
        <v>21.033000000000001</v>
      </c>
      <c r="U317">
        <v>7.69</v>
      </c>
      <c r="V317">
        <v>57.104118999999997</v>
      </c>
      <c r="W317">
        <v>2.1108929999999999</v>
      </c>
      <c r="X317">
        <v>63.270479999999999</v>
      </c>
      <c r="Y317">
        <v>80.688199999999995</v>
      </c>
      <c r="Z317">
        <v>66.790222167968807</v>
      </c>
      <c r="AA317">
        <v>2018</v>
      </c>
      <c r="AB317">
        <v>2019</v>
      </c>
      <c r="AC317">
        <v>1</v>
      </c>
      <c r="AD317">
        <v>0</v>
      </c>
      <c r="AE317">
        <v>1</v>
      </c>
      <c r="AF317">
        <v>1</v>
      </c>
      <c r="AG317">
        <v>0</v>
      </c>
      <c r="AJ317">
        <v>1.0198062658309941</v>
      </c>
      <c r="AK317">
        <v>1.2673079967498779</v>
      </c>
      <c r="AL317">
        <v>3.11308E-2</v>
      </c>
      <c r="AM317">
        <f>VLOOKUP(D317,[1]Sheet1!$C$1:$D$191,2,FALSE)</f>
        <v>39</v>
      </c>
    </row>
    <row r="318" spans="1:39" x14ac:dyDescent="0.35">
      <c r="A318">
        <v>2019</v>
      </c>
      <c r="B318" t="s">
        <v>42</v>
      </c>
      <c r="C318">
        <v>39</v>
      </c>
      <c r="D318" t="s">
        <v>244</v>
      </c>
      <c r="E318">
        <v>3661709.7631477499</v>
      </c>
      <c r="F318">
        <v>66963656.425090224</v>
      </c>
      <c r="G318">
        <v>70625366.18823798</v>
      </c>
      <c r="H318">
        <v>217279912678.48999</v>
      </c>
      <c r="I318">
        <v>256794209028.76999</v>
      </c>
      <c r="J318">
        <v>3.5657765720485707E-2</v>
      </c>
      <c r="K318">
        <v>20360.059921877801</v>
      </c>
      <c r="L318">
        <v>3.1587480193220253E-2</v>
      </c>
      <c r="M318">
        <v>19736.629527593999</v>
      </c>
      <c r="N318">
        <v>2.8478759591805001</v>
      </c>
      <c r="O318">
        <v>138.15460999387099</v>
      </c>
      <c r="P318">
        <v>49.440104712806502</v>
      </c>
      <c r="Q318">
        <v>32.039904436658396</v>
      </c>
      <c r="R318">
        <v>10671870</v>
      </c>
      <c r="S318">
        <v>3.9456523129789778E-3</v>
      </c>
      <c r="T318">
        <v>22.481000000000002</v>
      </c>
      <c r="U318">
        <v>7.69</v>
      </c>
      <c r="V318">
        <v>57.983505999999998</v>
      </c>
      <c r="W318">
        <v>2.2778809999999998</v>
      </c>
      <c r="X318">
        <v>63.490740000000002</v>
      </c>
      <c r="Y318">
        <v>80.866900000000001</v>
      </c>
      <c r="Z318">
        <v>66.880218505859403</v>
      </c>
      <c r="AA318">
        <v>2018</v>
      </c>
      <c r="AB318">
        <v>2019</v>
      </c>
      <c r="AC318">
        <v>1</v>
      </c>
      <c r="AD318">
        <v>1</v>
      </c>
      <c r="AE318">
        <v>1</v>
      </c>
      <c r="AF318">
        <v>1</v>
      </c>
      <c r="AG318">
        <v>1</v>
      </c>
      <c r="AH318">
        <v>0</v>
      </c>
      <c r="AJ318">
        <v>1.0170935392379761</v>
      </c>
      <c r="AK318">
        <v>1.235328674316406</v>
      </c>
      <c r="AL318">
        <v>7.0185074999999986E-2</v>
      </c>
      <c r="AM318">
        <f>VLOOKUP(D318,[1]Sheet1!$C$1:$D$191,2,FALSE)</f>
        <v>39</v>
      </c>
    </row>
    <row r="319" spans="1:39" x14ac:dyDescent="0.35">
      <c r="A319">
        <v>2020</v>
      </c>
      <c r="B319" t="s">
        <v>42</v>
      </c>
      <c r="C319">
        <v>39</v>
      </c>
      <c r="D319" t="s">
        <v>244</v>
      </c>
      <c r="E319">
        <v>7263322.6595158996</v>
      </c>
      <c r="F319">
        <v>132134738.8536566</v>
      </c>
      <c r="G319">
        <v>139398061.51317254</v>
      </c>
      <c r="H319">
        <v>205753475034.30099</v>
      </c>
      <c r="I319">
        <v>251109660602.53601</v>
      </c>
      <c r="J319">
        <v>-5.3048795455126647E-2</v>
      </c>
      <c r="K319">
        <v>19233.146956549699</v>
      </c>
      <c r="L319">
        <v>-5.5349196890976872E-2</v>
      </c>
      <c r="M319">
        <v>20360.059921877801</v>
      </c>
      <c r="N319">
        <v>3.16129528497801</v>
      </c>
      <c r="O319">
        <v>128.78043030596501</v>
      </c>
      <c r="P319">
        <v>51.982990632975103</v>
      </c>
      <c r="Q319">
        <v>37.642455336170698</v>
      </c>
      <c r="R319">
        <v>10697858</v>
      </c>
      <c r="S319">
        <v>2.4351870852999521E-3</v>
      </c>
      <c r="T319">
        <v>22.332000000000001</v>
      </c>
      <c r="U319">
        <v>7.67</v>
      </c>
      <c r="V319">
        <v>57.171539000000003</v>
      </c>
      <c r="W319">
        <v>2.0410330000000001</v>
      </c>
      <c r="X319">
        <v>63.597340000000003</v>
      </c>
      <c r="Y319">
        <v>81.338899999999995</v>
      </c>
      <c r="Z319">
        <v>67.184371948242202</v>
      </c>
      <c r="AA319">
        <v>2018</v>
      </c>
      <c r="AB319">
        <v>2019</v>
      </c>
      <c r="AC319">
        <v>1</v>
      </c>
      <c r="AD319">
        <v>1</v>
      </c>
      <c r="AE319">
        <v>1</v>
      </c>
      <c r="AF319">
        <v>1</v>
      </c>
      <c r="AG319">
        <v>2</v>
      </c>
      <c r="AH319">
        <v>1</v>
      </c>
      <c r="AJ319">
        <v>1.0184506177902219</v>
      </c>
      <c r="AK319">
        <v>1.234668493270874</v>
      </c>
      <c r="AL319">
        <v>8.8739499999999999E-2</v>
      </c>
      <c r="AM319">
        <f>VLOOKUP(D319,[1]Sheet1!$C$1:$D$191,2,FALSE)</f>
        <v>39</v>
      </c>
    </row>
    <row r="320" spans="1:39" x14ac:dyDescent="0.35">
      <c r="A320">
        <v>2013</v>
      </c>
      <c r="B320" t="s">
        <v>43</v>
      </c>
      <c r="C320">
        <v>40</v>
      </c>
      <c r="D320" t="s">
        <v>245</v>
      </c>
      <c r="E320">
        <v>15574</v>
      </c>
      <c r="G320">
        <v>15574</v>
      </c>
      <c r="H320">
        <v>93156490881.188599</v>
      </c>
      <c r="I320">
        <v>96570334000</v>
      </c>
      <c r="J320">
        <v>7.2112365367915557E-2</v>
      </c>
      <c r="K320">
        <v>5893.3217268303597</v>
      </c>
      <c r="L320">
        <v>5.617805734906689E-2</v>
      </c>
      <c r="M320">
        <v>5579.8562428215801</v>
      </c>
      <c r="N320">
        <v>2.7217757771037099</v>
      </c>
      <c r="O320">
        <v>63.433300334241402</v>
      </c>
      <c r="P320">
        <v>28.552233205541199</v>
      </c>
      <c r="Q320">
        <v>33.530977470257596</v>
      </c>
      <c r="R320">
        <v>15807128</v>
      </c>
      <c r="S320">
        <v>1.5086762982788424E-2</v>
      </c>
      <c r="T320">
        <v>57.606999999999999</v>
      </c>
      <c r="U320">
        <v>5.87</v>
      </c>
      <c r="V320">
        <v>29.080238000000001</v>
      </c>
      <c r="W320">
        <v>6.2093509999999998</v>
      </c>
      <c r="X320">
        <v>52.634619999999998</v>
      </c>
      <c r="Y320">
        <v>40.2791</v>
      </c>
      <c r="Z320">
        <v>39.773440580235302</v>
      </c>
      <c r="AJ320">
        <v>-0.87036359310150146</v>
      </c>
      <c r="AK320">
        <v>-0.83761101961135864</v>
      </c>
      <c r="AL320">
        <v>0.15224532499999999</v>
      </c>
      <c r="AM320">
        <f>VLOOKUP(D320,[1]Sheet1!$C$1:$D$191,2,FALSE)</f>
        <v>40</v>
      </c>
    </row>
    <row r="321" spans="1:39" x14ac:dyDescent="0.35">
      <c r="A321">
        <v>2014</v>
      </c>
      <c r="B321" t="s">
        <v>43</v>
      </c>
      <c r="C321">
        <v>40</v>
      </c>
      <c r="D321" t="s">
        <v>245</v>
      </c>
      <c r="E321">
        <v>78150</v>
      </c>
      <c r="G321">
        <v>78150</v>
      </c>
      <c r="H321">
        <v>97093344927.478394</v>
      </c>
      <c r="I321">
        <v>102717794000</v>
      </c>
      <c r="J321">
        <v>4.2260652038845499E-2</v>
      </c>
      <c r="K321">
        <v>6055.0417276148501</v>
      </c>
      <c r="L321">
        <v>2.7441230647265068E-2</v>
      </c>
      <c r="M321">
        <v>5893.3217268303597</v>
      </c>
      <c r="N321">
        <v>3.5892201661666299</v>
      </c>
      <c r="O321">
        <v>61.426376621756503</v>
      </c>
      <c r="P321">
        <v>29.208430980273999</v>
      </c>
      <c r="Q321">
        <v>33.326879667249599</v>
      </c>
      <c r="R321">
        <v>16035124</v>
      </c>
      <c r="S321">
        <v>1.4423619521522189E-2</v>
      </c>
      <c r="T321">
        <v>57.762</v>
      </c>
      <c r="U321">
        <v>5.87</v>
      </c>
      <c r="V321">
        <v>32.207031999999998</v>
      </c>
      <c r="W321">
        <v>5.9333749999999998</v>
      </c>
      <c r="X321">
        <v>53.482619999999997</v>
      </c>
      <c r="Y321">
        <v>45.590400000000002</v>
      </c>
      <c r="AJ321">
        <v>-0.97079229354858398</v>
      </c>
      <c r="AK321">
        <v>-0.92028379440307617</v>
      </c>
      <c r="AL321">
        <v>5.6083550000000003E-2</v>
      </c>
      <c r="AM321">
        <f>VLOOKUP(D321,[1]Sheet1!$C$1:$D$191,2,FALSE)</f>
        <v>40</v>
      </c>
    </row>
    <row r="322" spans="1:39" x14ac:dyDescent="0.35">
      <c r="A322">
        <v>2015</v>
      </c>
      <c r="B322" t="s">
        <v>43</v>
      </c>
      <c r="C322">
        <v>40</v>
      </c>
      <c r="D322" t="s">
        <v>245</v>
      </c>
      <c r="E322">
        <v>53397</v>
      </c>
      <c r="G322">
        <v>53397</v>
      </c>
      <c r="H322">
        <v>97209558000</v>
      </c>
      <c r="I322">
        <v>97209558000</v>
      </c>
      <c r="J322">
        <v>1.1969210928762324E-3</v>
      </c>
      <c r="K322">
        <v>5976.1596805650997</v>
      </c>
      <c r="L322">
        <v>-1.3027498504262639E-2</v>
      </c>
      <c r="M322">
        <v>6055.0417276148501</v>
      </c>
      <c r="N322">
        <v>3.9666462325535798</v>
      </c>
      <c r="O322">
        <v>47.828039707782601</v>
      </c>
      <c r="P322">
        <v>29.936261368218499</v>
      </c>
      <c r="Q322">
        <v>34.075853824724298</v>
      </c>
      <c r="R322">
        <v>16266225</v>
      </c>
      <c r="S322">
        <v>1.4412174174643114E-2</v>
      </c>
      <c r="T322">
        <v>61.043999999999997</v>
      </c>
      <c r="U322">
        <v>5.87</v>
      </c>
      <c r="V322">
        <v>33.60577</v>
      </c>
      <c r="W322">
        <v>6.917554</v>
      </c>
      <c r="X322">
        <v>59.953110000000002</v>
      </c>
      <c r="Y322">
        <v>48.940399999999997</v>
      </c>
      <c r="Z322">
        <v>44.537149274365298</v>
      </c>
      <c r="AJ322">
        <v>-0.95641845464706421</v>
      </c>
      <c r="AK322">
        <v>-1.141577363014221</v>
      </c>
      <c r="AL322">
        <v>8.3305925000000003E-2</v>
      </c>
      <c r="AM322">
        <f>VLOOKUP(D322,[1]Sheet1!$C$1:$D$191,2,FALSE)</f>
        <v>40</v>
      </c>
    </row>
    <row r="323" spans="1:39" x14ac:dyDescent="0.35">
      <c r="A323">
        <v>2016</v>
      </c>
      <c r="B323" t="s">
        <v>43</v>
      </c>
      <c r="C323">
        <v>40</v>
      </c>
      <c r="D323" t="s">
        <v>245</v>
      </c>
      <c r="E323">
        <v>29656.152274452092</v>
      </c>
      <c r="F323">
        <v>4397775</v>
      </c>
      <c r="G323">
        <v>4427431.1522744521</v>
      </c>
      <c r="H323">
        <v>96540800718.339798</v>
      </c>
      <c r="I323">
        <v>97671433000</v>
      </c>
      <c r="J323">
        <v>-6.8795424587796399E-3</v>
      </c>
      <c r="K323">
        <v>5849.1358793367199</v>
      </c>
      <c r="L323">
        <v>-2.1255088220194378E-2</v>
      </c>
      <c r="M323">
        <v>5976.1596805650997</v>
      </c>
      <c r="N323">
        <v>1.72826463324533</v>
      </c>
      <c r="O323">
        <v>40.5344917996647</v>
      </c>
      <c r="P323">
        <v>31.504655800033198</v>
      </c>
      <c r="Q323">
        <v>35.0549572104551</v>
      </c>
      <c r="R323">
        <v>16505139</v>
      </c>
      <c r="S323">
        <v>1.4687734861653519E-2</v>
      </c>
      <c r="T323">
        <v>63.110999999999997</v>
      </c>
      <c r="U323">
        <v>5.81</v>
      </c>
      <c r="V323">
        <v>34.013710000000003</v>
      </c>
      <c r="W323">
        <v>5.69747</v>
      </c>
      <c r="X323">
        <v>61.01314</v>
      </c>
      <c r="Y323">
        <v>54.062899999999999</v>
      </c>
      <c r="AJ323">
        <v>-0.64908361434936523</v>
      </c>
      <c r="AK323">
        <v>-0.95847439765930176</v>
      </c>
      <c r="AL323">
        <v>6.6436500000000009E-2</v>
      </c>
      <c r="AM323">
        <f>VLOOKUP(D323,[1]Sheet1!$C$1:$D$191,2,FALSE)</f>
        <v>40</v>
      </c>
    </row>
    <row r="324" spans="1:39" x14ac:dyDescent="0.35">
      <c r="A324">
        <v>2017</v>
      </c>
      <c r="B324" t="s">
        <v>43</v>
      </c>
      <c r="C324">
        <v>40</v>
      </c>
      <c r="D324" t="s">
        <v>245</v>
      </c>
      <c r="E324">
        <v>213326.75750000001</v>
      </c>
      <c r="F324">
        <v>6616250</v>
      </c>
      <c r="G324">
        <v>6829576.7575000003</v>
      </c>
      <c r="H324">
        <v>102304671535.15601</v>
      </c>
      <c r="I324">
        <v>104467486000</v>
      </c>
      <c r="J324">
        <v>5.9703988095483537E-2</v>
      </c>
      <c r="K324">
        <v>6104.2725352175103</v>
      </c>
      <c r="L324">
        <v>4.3619546740590057E-2</v>
      </c>
      <c r="M324">
        <v>5849.1358793367199</v>
      </c>
      <c r="N324">
        <v>0.41733558866682502</v>
      </c>
      <c r="O324">
        <v>43.617723317281701</v>
      </c>
      <c r="P324">
        <v>34.220846104021298</v>
      </c>
      <c r="Q324">
        <v>31.5192679680287</v>
      </c>
      <c r="R324">
        <v>16759519</v>
      </c>
      <c r="S324">
        <v>1.5412169506721512E-2</v>
      </c>
      <c r="T324">
        <v>63.634999999999998</v>
      </c>
      <c r="U324">
        <v>6.02</v>
      </c>
      <c r="V324">
        <v>33.555762999999999</v>
      </c>
      <c r="W324">
        <v>6.4125930000000002</v>
      </c>
      <c r="X324">
        <v>53.300260000000002</v>
      </c>
      <c r="Y324">
        <v>55.8</v>
      </c>
      <c r="AJ324">
        <v>-0.71814054250717163</v>
      </c>
      <c r="AK324">
        <v>-1.0235873460769651</v>
      </c>
      <c r="AL324">
        <v>6.4953475000000011E-2</v>
      </c>
      <c r="AM324">
        <f>VLOOKUP(D324,[1]Sheet1!$C$1:$D$191,2,FALSE)</f>
        <v>40</v>
      </c>
    </row>
    <row r="325" spans="1:39" x14ac:dyDescent="0.35">
      <c r="A325">
        <v>2018</v>
      </c>
      <c r="B325" t="s">
        <v>43</v>
      </c>
      <c r="C325">
        <v>40</v>
      </c>
      <c r="D325" t="s">
        <v>245</v>
      </c>
      <c r="E325">
        <v>271581.70367900003</v>
      </c>
      <c r="F325">
        <v>8613391</v>
      </c>
      <c r="G325">
        <v>8884972.7036789991</v>
      </c>
      <c r="H325">
        <v>103373034664.29601</v>
      </c>
      <c r="I325">
        <v>107478962000</v>
      </c>
      <c r="J325">
        <v>1.0442955469270696E-2</v>
      </c>
      <c r="K325">
        <v>6063.0956742895296</v>
      </c>
      <c r="L325">
        <v>-6.7455803603817038E-3</v>
      </c>
      <c r="M325">
        <v>6104.2725352175103</v>
      </c>
      <c r="N325">
        <v>-0.22410324600555201</v>
      </c>
      <c r="O325">
        <v>48.009348099212197</v>
      </c>
      <c r="P325">
        <v>38.337494391972299</v>
      </c>
      <c r="Q325">
        <v>33.725044606887103</v>
      </c>
      <c r="R325">
        <v>17049547</v>
      </c>
      <c r="S325">
        <v>1.7305269918545991E-2</v>
      </c>
      <c r="T325">
        <v>62.073999999999998</v>
      </c>
      <c r="U325">
        <v>6.27</v>
      </c>
      <c r="V325">
        <v>34.930472999999999</v>
      </c>
      <c r="W325">
        <v>6.4433280000000002</v>
      </c>
      <c r="X325">
        <v>55.8947</v>
      </c>
      <c r="Y325">
        <v>57.5</v>
      </c>
      <c r="Z325">
        <v>47.331183225327898</v>
      </c>
      <c r="AJ325">
        <v>-0.66326427459716797</v>
      </c>
      <c r="AK325">
        <v>-0.88688880205154419</v>
      </c>
      <c r="AL325">
        <v>8.9678850000000004E-2</v>
      </c>
      <c r="AM325">
        <f>VLOOKUP(D325,[1]Sheet1!$C$1:$D$191,2,FALSE)</f>
        <v>40</v>
      </c>
    </row>
    <row r="326" spans="1:39" x14ac:dyDescent="0.35">
      <c r="A326">
        <v>2019</v>
      </c>
      <c r="B326" t="s">
        <v>43</v>
      </c>
      <c r="C326">
        <v>40</v>
      </c>
      <c r="D326" t="s">
        <v>245</v>
      </c>
      <c r="E326">
        <v>121617.9125106</v>
      </c>
      <c r="F326">
        <v>10988765</v>
      </c>
      <c r="G326">
        <v>11110382.9125106</v>
      </c>
      <c r="H326">
        <v>103544017315.435</v>
      </c>
      <c r="I326">
        <v>107595829000</v>
      </c>
      <c r="J326">
        <v>1.6540353264684409E-3</v>
      </c>
      <c r="K326">
        <v>5971.3893838672302</v>
      </c>
      <c r="L326">
        <v>-1.5125324644171228E-2</v>
      </c>
      <c r="M326">
        <v>6063.0956742895296</v>
      </c>
      <c r="N326">
        <v>0.26601251546615501</v>
      </c>
      <c r="O326">
        <v>48.0828499402147</v>
      </c>
      <c r="P326">
        <v>42.691582416191999</v>
      </c>
      <c r="Q326">
        <v>33.146896803462198</v>
      </c>
      <c r="R326">
        <v>17340021</v>
      </c>
      <c r="S326">
        <v>1.7037050896425578E-2</v>
      </c>
      <c r="T326">
        <v>61.371000000000002</v>
      </c>
      <c r="U326">
        <v>6.33</v>
      </c>
      <c r="V326">
        <v>36.839339000000002</v>
      </c>
      <c r="W326">
        <v>6.5317720000000001</v>
      </c>
      <c r="X326">
        <v>58.605130000000003</v>
      </c>
      <c r="Y326">
        <v>59.2</v>
      </c>
      <c r="Z326">
        <v>47.262781401220302</v>
      </c>
      <c r="AJ326">
        <v>-0.54295098781585693</v>
      </c>
      <c r="AK326">
        <v>-0.79669398069381714</v>
      </c>
      <c r="AL326">
        <v>6.1238525000000002E-2</v>
      </c>
      <c r="AM326">
        <f>VLOOKUP(D326,[1]Sheet1!$C$1:$D$191,2,FALSE)</f>
        <v>40</v>
      </c>
    </row>
    <row r="327" spans="1:39" x14ac:dyDescent="0.35">
      <c r="A327">
        <v>2020</v>
      </c>
      <c r="B327" t="s">
        <v>43</v>
      </c>
      <c r="C327">
        <v>40</v>
      </c>
      <c r="D327" t="s">
        <v>245</v>
      </c>
      <c r="E327">
        <v>437005.13494964002</v>
      </c>
      <c r="F327">
        <v>7919985</v>
      </c>
      <c r="G327">
        <v>8356990.1349496404</v>
      </c>
      <c r="H327">
        <v>93971273121.555603</v>
      </c>
      <c r="I327">
        <v>95865472000</v>
      </c>
      <c r="J327">
        <v>-9.2450963774344641E-2</v>
      </c>
      <c r="K327">
        <v>5355.6893310013202</v>
      </c>
      <c r="L327">
        <v>-0.10310834100508219</v>
      </c>
      <c r="M327">
        <v>5971.3893838672302</v>
      </c>
      <c r="N327">
        <v>-0.33887239256213902</v>
      </c>
      <c r="O327">
        <v>43.989312439832403</v>
      </c>
      <c r="P327">
        <v>49.055705576988103</v>
      </c>
      <c r="Q327">
        <v>34.039675771765801</v>
      </c>
      <c r="R327">
        <v>17546065</v>
      </c>
      <c r="S327">
        <v>1.188256923102919E-2</v>
      </c>
      <c r="U327">
        <v>6.13</v>
      </c>
      <c r="V327">
        <v>0</v>
      </c>
      <c r="W327">
        <v>6.202229</v>
      </c>
      <c r="X327">
        <v>56.809629999999999</v>
      </c>
      <c r="Y327">
        <v>70.7</v>
      </c>
      <c r="Z327">
        <v>56.906631148368199</v>
      </c>
      <c r="AJ327">
        <v>-0.54094964265823364</v>
      </c>
      <c r="AK327">
        <v>-0.87113338708877563</v>
      </c>
      <c r="AL327">
        <v>0.18918362499999999</v>
      </c>
      <c r="AM327">
        <f>VLOOKUP(D327,[1]Sheet1!$C$1:$D$191,2,FALSE)</f>
        <v>40</v>
      </c>
    </row>
    <row r="328" spans="1:39" x14ac:dyDescent="0.35">
      <c r="A328">
        <v>2013</v>
      </c>
      <c r="B328" t="s">
        <v>44</v>
      </c>
      <c r="C328">
        <v>41</v>
      </c>
      <c r="D328" t="s">
        <v>246</v>
      </c>
      <c r="E328">
        <v>815303.7905061479</v>
      </c>
      <c r="G328">
        <v>815303.7905061479</v>
      </c>
      <c r="H328">
        <v>306628779736.18298</v>
      </c>
      <c r="I328">
        <v>288434108527.13202</v>
      </c>
      <c r="J328">
        <v>2.185466053621463E-2</v>
      </c>
      <c r="K328">
        <v>3216.3783902629002</v>
      </c>
      <c r="L328">
        <v>-1.4323388107768036E-3</v>
      </c>
      <c r="M328">
        <v>3220.9919420306701</v>
      </c>
      <c r="N328">
        <v>9.4697198106492095</v>
      </c>
      <c r="O328">
        <v>40.373038056332</v>
      </c>
      <c r="P328">
        <v>26.222439495804299</v>
      </c>
      <c r="Q328">
        <v>32.201730810578397</v>
      </c>
      <c r="R328">
        <v>95333553</v>
      </c>
      <c r="S328">
        <v>2.3320402063949485E-2</v>
      </c>
      <c r="T328">
        <v>27.530999999999999</v>
      </c>
      <c r="U328">
        <v>3.27</v>
      </c>
      <c r="V328">
        <v>10.943776</v>
      </c>
      <c r="W328">
        <v>3.8580909999999999</v>
      </c>
      <c r="X328">
        <v>57.320210000000003</v>
      </c>
      <c r="Y328">
        <v>29.4</v>
      </c>
      <c r="Z328">
        <v>28.347981695411299</v>
      </c>
      <c r="AF328">
        <v>0</v>
      </c>
      <c r="AJ328">
        <v>-0.73585569858551025</v>
      </c>
      <c r="AK328">
        <v>-0.55743312835693359</v>
      </c>
      <c r="AL328">
        <v>0.12666844999999999</v>
      </c>
      <c r="AM328">
        <f>VLOOKUP(D328,[1]Sheet1!$C$1:$D$191,2,FALSE)</f>
        <v>41</v>
      </c>
    </row>
    <row r="329" spans="1:39" x14ac:dyDescent="0.35">
      <c r="A329">
        <v>2014</v>
      </c>
      <c r="B329" t="s">
        <v>44</v>
      </c>
      <c r="C329">
        <v>41</v>
      </c>
      <c r="D329" t="s">
        <v>246</v>
      </c>
      <c r="E329">
        <v>584477.34793775622</v>
      </c>
      <c r="F329">
        <v>34050</v>
      </c>
      <c r="G329">
        <v>618527.34793775622</v>
      </c>
      <c r="H329">
        <v>315569804751.57202</v>
      </c>
      <c r="I329">
        <v>305595408895.26501</v>
      </c>
      <c r="J329">
        <v>2.915911879857367E-2</v>
      </c>
      <c r="K329">
        <v>3235.6624623525699</v>
      </c>
      <c r="L329">
        <v>5.9955856400631686E-3</v>
      </c>
      <c r="M329">
        <v>3216.3783902629002</v>
      </c>
      <c r="N329">
        <v>10.070215468748099</v>
      </c>
      <c r="O329">
        <v>36.920187793427203</v>
      </c>
      <c r="P329">
        <v>25.606680539291801</v>
      </c>
      <c r="Q329">
        <v>32.920629107981199</v>
      </c>
      <c r="R329">
        <v>97528654</v>
      </c>
      <c r="S329">
        <v>2.302548190981616E-2</v>
      </c>
      <c r="T329">
        <v>27.800999999999998</v>
      </c>
      <c r="U329">
        <v>3.16</v>
      </c>
      <c r="V329">
        <v>12.061358</v>
      </c>
      <c r="W329">
        <v>3.7667459999999999</v>
      </c>
      <c r="X329">
        <v>60.148859999999999</v>
      </c>
      <c r="Y329">
        <v>33.894599999999997</v>
      </c>
      <c r="Z329">
        <v>29.1134325604942</v>
      </c>
      <c r="AF329">
        <v>0</v>
      </c>
      <c r="AJ329">
        <v>-0.69840240478515625</v>
      </c>
      <c r="AK329">
        <v>-0.68722504377365112</v>
      </c>
      <c r="AL329">
        <v>8.7229324999999996E-2</v>
      </c>
      <c r="AM329">
        <f>VLOOKUP(D329,[1]Sheet1!$C$1:$D$191,2,FALSE)</f>
        <v>41</v>
      </c>
    </row>
    <row r="330" spans="1:39" x14ac:dyDescent="0.35">
      <c r="A330">
        <v>2015</v>
      </c>
      <c r="B330" t="s">
        <v>44</v>
      </c>
      <c r="C330">
        <v>41</v>
      </c>
      <c r="D330" t="s">
        <v>246</v>
      </c>
      <c r="E330">
        <v>2618491.516618384</v>
      </c>
      <c r="F330">
        <v>343750</v>
      </c>
      <c r="G330">
        <v>2962241.516618384</v>
      </c>
      <c r="H330">
        <v>329366576819.40698</v>
      </c>
      <c r="I330">
        <v>329366576819.40698</v>
      </c>
      <c r="J330">
        <v>4.3720190779014109E-2</v>
      </c>
      <c r="K330">
        <v>3306.9815941414099</v>
      </c>
      <c r="L330">
        <v>2.2041585801562749E-2</v>
      </c>
      <c r="M330">
        <v>3235.6624623525699</v>
      </c>
      <c r="N330">
        <v>10.370490343517</v>
      </c>
      <c r="O330">
        <v>34.845942960022903</v>
      </c>
      <c r="P330">
        <v>26.316393760305001</v>
      </c>
      <c r="Q330">
        <v>30.2303694913867</v>
      </c>
      <c r="R330">
        <v>99597342</v>
      </c>
      <c r="S330">
        <v>2.12110791562857E-2</v>
      </c>
      <c r="T330">
        <v>29.446000000000002</v>
      </c>
      <c r="U330">
        <v>3.18</v>
      </c>
      <c r="V330">
        <v>13.695781</v>
      </c>
      <c r="W330">
        <v>4.1827829999999997</v>
      </c>
      <c r="X330">
        <v>55.8673</v>
      </c>
      <c r="Y330">
        <v>37.819400000000002</v>
      </c>
      <c r="Z330">
        <v>32.884899139404297</v>
      </c>
      <c r="AF330">
        <v>0</v>
      </c>
      <c r="AJ330">
        <v>-0.60183113813400269</v>
      </c>
      <c r="AK330">
        <v>-0.79636305570602417</v>
      </c>
      <c r="AL330">
        <v>7.0294450000000008E-2</v>
      </c>
      <c r="AM330">
        <f>VLOOKUP(D330,[1]Sheet1!$C$1:$D$191,2,FALSE)</f>
        <v>41</v>
      </c>
    </row>
    <row r="331" spans="1:39" x14ac:dyDescent="0.35">
      <c r="A331">
        <v>2016</v>
      </c>
      <c r="B331" t="s">
        <v>44</v>
      </c>
      <c r="C331">
        <v>41</v>
      </c>
      <c r="D331" t="s">
        <v>246</v>
      </c>
      <c r="E331">
        <v>3842009.320174356</v>
      </c>
      <c r="F331">
        <v>500825</v>
      </c>
      <c r="G331">
        <v>4342834.320174356</v>
      </c>
      <c r="H331">
        <v>343682967575.51202</v>
      </c>
      <c r="I331">
        <v>332441717791.41101</v>
      </c>
      <c r="J331">
        <v>4.3466434555546225E-2</v>
      </c>
      <c r="K331">
        <v>3381.2224630620699</v>
      </c>
      <c r="L331">
        <v>2.2449737564969756E-2</v>
      </c>
      <c r="M331">
        <v>3306.9815941414099</v>
      </c>
      <c r="N331">
        <v>13.813606214829001</v>
      </c>
      <c r="O331">
        <v>30.246549051450501</v>
      </c>
      <c r="P331">
        <v>34.134862625263899</v>
      </c>
      <c r="R331">
        <v>101644589</v>
      </c>
      <c r="S331">
        <v>2.0555237307437382E-2</v>
      </c>
      <c r="T331">
        <v>26.643000000000001</v>
      </c>
      <c r="U331">
        <v>3.31</v>
      </c>
      <c r="V331">
        <v>15.688546000000001</v>
      </c>
      <c r="W331">
        <v>3.6858759999999999</v>
      </c>
      <c r="X331">
        <v>64.082359999999994</v>
      </c>
      <c r="Y331">
        <v>41.248100000000001</v>
      </c>
      <c r="Z331">
        <v>31.873130798339801</v>
      </c>
      <c r="AF331">
        <v>0</v>
      </c>
      <c r="AJ331">
        <v>-0.47747579216957092</v>
      </c>
      <c r="AK331">
        <v>-0.89287590980529785</v>
      </c>
      <c r="AL331">
        <v>1.8560074999999999E-2</v>
      </c>
      <c r="AM331">
        <f>VLOOKUP(D331,[1]Sheet1!$C$1:$D$191,2,FALSE)</f>
        <v>41</v>
      </c>
    </row>
    <row r="332" spans="1:39" x14ac:dyDescent="0.35">
      <c r="A332">
        <v>2017</v>
      </c>
      <c r="B332" t="s">
        <v>44</v>
      </c>
      <c r="C332">
        <v>41</v>
      </c>
      <c r="D332" t="s">
        <v>246</v>
      </c>
      <c r="E332">
        <v>269102.11732000002</v>
      </c>
      <c r="F332">
        <v>477225</v>
      </c>
      <c r="G332">
        <v>1066327.11732</v>
      </c>
      <c r="H332">
        <v>358053111989.02301</v>
      </c>
      <c r="I332">
        <v>248362771739.13</v>
      </c>
      <c r="J332">
        <v>4.1812209999477677E-2</v>
      </c>
      <c r="K332">
        <v>3452.9096124553898</v>
      </c>
      <c r="L332">
        <v>2.1201547717271261E-2</v>
      </c>
      <c r="M332">
        <v>3381.2224630620699</v>
      </c>
      <c r="N332">
        <v>29.506608394003901</v>
      </c>
      <c r="O332">
        <v>42.832134358160801</v>
      </c>
      <c r="P332">
        <v>27.0698246737254</v>
      </c>
      <c r="R332">
        <v>103696057</v>
      </c>
      <c r="S332">
        <v>2.0182756604977762E-2</v>
      </c>
      <c r="T332">
        <v>25.079000000000001</v>
      </c>
      <c r="U332">
        <v>3.36</v>
      </c>
      <c r="V332">
        <v>17.706669999999999</v>
      </c>
      <c r="W332">
        <v>3.6968260000000002</v>
      </c>
      <c r="X332">
        <v>59.392020000000002</v>
      </c>
      <c r="Y332">
        <v>44.950200000000002</v>
      </c>
      <c r="Z332">
        <v>33.101889293522099</v>
      </c>
      <c r="AF332">
        <v>0</v>
      </c>
      <c r="AJ332">
        <v>-0.44803613424301147</v>
      </c>
      <c r="AK332">
        <v>-0.81324559450149536</v>
      </c>
      <c r="AL332">
        <v>2.8149525000000002E-2</v>
      </c>
      <c r="AM332">
        <f>VLOOKUP(D332,[1]Sheet1!$C$1:$D$191,2,FALSE)</f>
        <v>41</v>
      </c>
    </row>
    <row r="333" spans="1:39" x14ac:dyDescent="0.35">
      <c r="A333">
        <v>2018</v>
      </c>
      <c r="B333" t="s">
        <v>44</v>
      </c>
      <c r="C333">
        <v>41</v>
      </c>
      <c r="D333" t="s">
        <v>246</v>
      </c>
      <c r="E333">
        <v>312862.668381</v>
      </c>
      <c r="F333">
        <v>577050</v>
      </c>
      <c r="G333">
        <v>889912.66838099994</v>
      </c>
      <c r="H333">
        <v>377141312302.66901</v>
      </c>
      <c r="I333">
        <v>262588632526.73001</v>
      </c>
      <c r="J333">
        <v>5.3311086189445522E-2</v>
      </c>
      <c r="K333">
        <v>3568.6396628616098</v>
      </c>
      <c r="L333">
        <v>3.3516675324704925E-2</v>
      </c>
      <c r="M333">
        <v>3452.9096124553898</v>
      </c>
      <c r="N333">
        <v>14.4014657807422</v>
      </c>
      <c r="O333">
        <v>45.911019673395899</v>
      </c>
      <c r="P333">
        <v>24.295279070764199</v>
      </c>
      <c r="R333">
        <v>105682094</v>
      </c>
      <c r="S333">
        <v>1.9152483300305237E-2</v>
      </c>
      <c r="T333">
        <v>27.420999999999999</v>
      </c>
      <c r="U333">
        <v>3.36</v>
      </c>
      <c r="V333">
        <v>18.723808999999999</v>
      </c>
      <c r="W333">
        <v>3.343693</v>
      </c>
      <c r="X333">
        <v>60.373910000000002</v>
      </c>
      <c r="Y333">
        <v>46.924300000000002</v>
      </c>
      <c r="Z333">
        <v>36.123001098632798</v>
      </c>
      <c r="AF333">
        <v>0</v>
      </c>
      <c r="AJ333">
        <v>-0.30144557356834412</v>
      </c>
      <c r="AK333">
        <v>-0.8042747974395752</v>
      </c>
      <c r="AL333">
        <v>3.9075375000000002E-2</v>
      </c>
      <c r="AM333">
        <f>VLOOKUP(D333,[1]Sheet1!$C$1:$D$191,2,FALSE)</f>
        <v>41</v>
      </c>
    </row>
    <row r="334" spans="1:39" x14ac:dyDescent="0.35">
      <c r="A334">
        <v>2019</v>
      </c>
      <c r="B334" t="s">
        <v>44</v>
      </c>
      <c r="C334">
        <v>41</v>
      </c>
      <c r="D334" t="s">
        <v>246</v>
      </c>
      <c r="E334">
        <v>30876.118309680001</v>
      </c>
      <c r="F334">
        <v>773700</v>
      </c>
      <c r="G334">
        <v>804576.11830968002</v>
      </c>
      <c r="H334">
        <v>398080548973.052</v>
      </c>
      <c r="I334">
        <v>318678815489.74902</v>
      </c>
      <c r="J334">
        <v>5.5520930715695582E-2</v>
      </c>
      <c r="K334">
        <v>3701.2446345188</v>
      </c>
      <c r="L334">
        <v>3.7158408857356391E-2</v>
      </c>
      <c r="M334">
        <v>3568.6396628616098</v>
      </c>
      <c r="N334">
        <v>9.1527995932480408</v>
      </c>
      <c r="O334">
        <v>41.124017155110799</v>
      </c>
      <c r="P334">
        <v>22.848730897276301</v>
      </c>
      <c r="R334">
        <v>107553158</v>
      </c>
      <c r="S334">
        <v>1.7704645405682444E-2</v>
      </c>
      <c r="T334">
        <v>38.673999999999999</v>
      </c>
      <c r="U334">
        <v>3.06</v>
      </c>
      <c r="V334">
        <v>20.070174999999999</v>
      </c>
      <c r="W334">
        <v>4.7659060000000002</v>
      </c>
      <c r="X334">
        <v>60.810650000000003</v>
      </c>
      <c r="Y334">
        <v>57.282899999999998</v>
      </c>
      <c r="Z334">
        <v>33.622825887243998</v>
      </c>
      <c r="AF334">
        <v>0</v>
      </c>
      <c r="AI334">
        <v>1</v>
      </c>
      <c r="AJ334">
        <v>-0.33212333917617798</v>
      </c>
      <c r="AK334">
        <v>-0.75856322050094604</v>
      </c>
      <c r="AL334">
        <v>2.3544800000000001E-2</v>
      </c>
      <c r="AM334">
        <f>VLOOKUP(D334,[1]Sheet1!$C$1:$D$191,2,FALSE)</f>
        <v>41</v>
      </c>
    </row>
    <row r="335" spans="1:39" x14ac:dyDescent="0.35">
      <c r="A335">
        <v>2020</v>
      </c>
      <c r="B335" t="s">
        <v>44</v>
      </c>
      <c r="C335">
        <v>41</v>
      </c>
      <c r="D335" t="s">
        <v>246</v>
      </c>
      <c r="E335">
        <v>85106.034680790006</v>
      </c>
      <c r="F335">
        <v>26114485.025529999</v>
      </c>
      <c r="G335">
        <v>26199591.06021079</v>
      </c>
      <c r="H335">
        <v>412213064649.08698</v>
      </c>
      <c r="I335">
        <v>383817841547.099</v>
      </c>
      <c r="J335">
        <v>3.5501648378684462E-2</v>
      </c>
      <c r="K335">
        <v>3770.8694786742099</v>
      </c>
      <c r="L335">
        <v>1.8811197591769503E-2</v>
      </c>
      <c r="M335">
        <v>3701.2446345188</v>
      </c>
      <c r="N335">
        <v>5.0449328897753896</v>
      </c>
      <c r="O335">
        <v>32.126255566752299</v>
      </c>
      <c r="P335">
        <v>25.789474254786601</v>
      </c>
      <c r="R335">
        <v>109315124</v>
      </c>
      <c r="S335">
        <v>1.6382280471950436E-2</v>
      </c>
      <c r="T335">
        <v>27.687999999999999</v>
      </c>
      <c r="U335">
        <v>2.93</v>
      </c>
      <c r="V335">
        <v>22.061022999999999</v>
      </c>
      <c r="W335">
        <v>4.1318460000000004</v>
      </c>
      <c r="X335">
        <v>67.77655</v>
      </c>
      <c r="Y335">
        <v>71.914199999999994</v>
      </c>
      <c r="Z335">
        <v>38.773998260497997</v>
      </c>
      <c r="AF335">
        <v>0</v>
      </c>
      <c r="AI335">
        <v>1</v>
      </c>
      <c r="AJ335">
        <v>-0.31748306751251221</v>
      </c>
      <c r="AK335">
        <v>-0.57103115320205688</v>
      </c>
      <c r="AL335">
        <v>4.5578575000000003E-2</v>
      </c>
      <c r="AM335">
        <f>VLOOKUP(D335,[1]Sheet1!$C$1:$D$191,2,FALSE)</f>
        <v>41</v>
      </c>
    </row>
    <row r="336" spans="1:39" x14ac:dyDescent="0.35">
      <c r="A336">
        <v>2013</v>
      </c>
      <c r="B336" t="s">
        <v>45</v>
      </c>
      <c r="C336">
        <v>42</v>
      </c>
      <c r="D336" t="s">
        <v>247</v>
      </c>
      <c r="E336">
        <v>8306</v>
      </c>
      <c r="G336">
        <v>8306</v>
      </c>
      <c r="H336">
        <v>3761746659.5148501</v>
      </c>
      <c r="I336">
        <v>4418333192.4744902</v>
      </c>
      <c r="J336">
        <v>3.861213797666152E-2</v>
      </c>
      <c r="K336">
        <v>3329.0088049583201</v>
      </c>
      <c r="L336">
        <v>3.2980604450362189E-2</v>
      </c>
      <c r="M336">
        <v>3222.7215018520601</v>
      </c>
      <c r="N336">
        <v>5.62130623468948</v>
      </c>
      <c r="P336">
        <v>21.693579501356702</v>
      </c>
      <c r="R336">
        <v>1129990</v>
      </c>
      <c r="S336">
        <v>5.451732106137492E-3</v>
      </c>
      <c r="U336">
        <v>3.2</v>
      </c>
      <c r="V336">
        <v>31.171168999999999</v>
      </c>
      <c r="W336">
        <v>4.8179080000000001</v>
      </c>
      <c r="X336">
        <v>83.902619999999999</v>
      </c>
      <c r="Y336">
        <v>24.7</v>
      </c>
      <c r="Z336">
        <v>6.4354577186354298</v>
      </c>
      <c r="AJ336">
        <v>-0.4929775595664978</v>
      </c>
      <c r="AK336">
        <v>-0.14756391942501071</v>
      </c>
      <c r="AM336">
        <f>VLOOKUP(D336,[1]Sheet1!$C$1:$D$191,2,FALSE)</f>
        <v>42</v>
      </c>
    </row>
    <row r="337" spans="1:39" x14ac:dyDescent="0.35">
      <c r="A337">
        <v>2014</v>
      </c>
      <c r="B337" t="s">
        <v>45</v>
      </c>
      <c r="C337">
        <v>42</v>
      </c>
      <c r="D337" t="s">
        <v>247</v>
      </c>
      <c r="E337">
        <v>12555.215158935</v>
      </c>
      <c r="G337">
        <v>12555.215158935</v>
      </c>
      <c r="H337">
        <v>3826331630.2191801</v>
      </c>
      <c r="I337">
        <v>4250545460.94523</v>
      </c>
      <c r="J337">
        <v>1.7168878329690454E-2</v>
      </c>
      <c r="K337">
        <v>3367.3633702213701</v>
      </c>
      <c r="L337">
        <v>1.1521316857415241E-2</v>
      </c>
      <c r="M337">
        <v>3329.0088049583201</v>
      </c>
      <c r="N337">
        <v>5.68134885776447</v>
      </c>
      <c r="P337">
        <v>22.0219749038861</v>
      </c>
      <c r="Q337">
        <v>25.509109034480201</v>
      </c>
      <c r="R337">
        <v>1136299</v>
      </c>
      <c r="S337">
        <v>5.5832352498694678E-3</v>
      </c>
      <c r="U337">
        <v>3.09</v>
      </c>
      <c r="V337">
        <v>38.188425000000002</v>
      </c>
      <c r="W337">
        <v>5.4566819999999998</v>
      </c>
      <c r="X337">
        <v>85.815600000000003</v>
      </c>
      <c r="Y337">
        <v>25</v>
      </c>
      <c r="AJ337">
        <v>-0.31121429800987238</v>
      </c>
      <c r="AK337">
        <v>-0.2208566814661026</v>
      </c>
      <c r="AM337">
        <f>VLOOKUP(D337,[1]Sheet1!$C$1:$D$191,2,FALSE)</f>
        <v>42</v>
      </c>
    </row>
    <row r="338" spans="1:39" x14ac:dyDescent="0.35">
      <c r="A338">
        <v>2015</v>
      </c>
      <c r="B338" t="s">
        <v>45</v>
      </c>
      <c r="C338">
        <v>42</v>
      </c>
      <c r="D338" t="s">
        <v>247</v>
      </c>
      <c r="E338">
        <v>146040.004403125</v>
      </c>
      <c r="G338">
        <v>146040.004403125</v>
      </c>
      <c r="H338">
        <v>3878174403.5524001</v>
      </c>
      <c r="I338">
        <v>3878174403.5524001</v>
      </c>
      <c r="J338">
        <v>1.3548949318397252E-2</v>
      </c>
      <c r="K338">
        <v>3393.5336783466801</v>
      </c>
      <c r="L338">
        <v>7.7717505502203927E-3</v>
      </c>
      <c r="M338">
        <v>3367.3633702213701</v>
      </c>
      <c r="N338">
        <v>4.9512449370491902</v>
      </c>
      <c r="P338">
        <v>21.422736644024098</v>
      </c>
      <c r="Q338">
        <v>26.925454036555401</v>
      </c>
      <c r="R338">
        <v>1142813</v>
      </c>
      <c r="S338">
        <v>5.7326460729086271E-3</v>
      </c>
      <c r="U338">
        <v>3.09</v>
      </c>
      <c r="V338">
        <v>38.222774999999999</v>
      </c>
      <c r="W338">
        <v>5.837288</v>
      </c>
      <c r="X338">
        <v>87.416430000000005</v>
      </c>
      <c r="Y338">
        <v>25.643000000000001</v>
      </c>
      <c r="AJ338">
        <v>-0.31858131289482122</v>
      </c>
      <c r="AK338">
        <v>-0.26001983880996699</v>
      </c>
      <c r="AM338">
        <f>VLOOKUP(D338,[1]Sheet1!$C$1:$D$191,2,FALSE)</f>
        <v>42</v>
      </c>
    </row>
    <row r="339" spans="1:39" x14ac:dyDescent="0.35">
      <c r="A339">
        <v>2016</v>
      </c>
      <c r="B339" t="s">
        <v>45</v>
      </c>
      <c r="C339">
        <v>42</v>
      </c>
      <c r="D339" t="s">
        <v>247</v>
      </c>
      <c r="E339">
        <v>7356.046075036772</v>
      </c>
      <c r="G339">
        <v>7356.046075036772</v>
      </c>
      <c r="H339">
        <v>4015035098.7747898</v>
      </c>
      <c r="I339">
        <v>3705918654.1370802</v>
      </c>
      <c r="J339">
        <v>3.5289979506085534E-2</v>
      </c>
      <c r="K339">
        <v>3492.8322304908102</v>
      </c>
      <c r="L339">
        <v>2.9261107021783875E-2</v>
      </c>
      <c r="M339">
        <v>3393.5336783466801</v>
      </c>
      <c r="N339">
        <v>7.8472745908567996</v>
      </c>
      <c r="P339">
        <v>21.6755927774567</v>
      </c>
      <c r="Q339">
        <v>27.921171461377</v>
      </c>
      <c r="R339">
        <v>1149507</v>
      </c>
      <c r="S339">
        <v>5.8574762450199639E-3</v>
      </c>
      <c r="T339">
        <v>48.783999999999999</v>
      </c>
      <c r="U339">
        <v>3.03</v>
      </c>
      <c r="V339">
        <v>38.333067999999997</v>
      </c>
      <c r="W339">
        <v>7.0381549999999997</v>
      </c>
      <c r="X339">
        <v>87.266199999999998</v>
      </c>
      <c r="Y339">
        <v>28.57</v>
      </c>
      <c r="AJ339">
        <v>-0.37898403406143188</v>
      </c>
      <c r="AK339">
        <v>-0.26393172144889832</v>
      </c>
      <c r="AM339">
        <f>VLOOKUP(D339,[1]Sheet1!$C$1:$D$191,2,FALSE)</f>
        <v>42</v>
      </c>
    </row>
    <row r="340" spans="1:39" x14ac:dyDescent="0.35">
      <c r="A340">
        <v>2017</v>
      </c>
      <c r="B340" t="s">
        <v>45</v>
      </c>
      <c r="C340">
        <v>42</v>
      </c>
      <c r="D340" t="s">
        <v>247</v>
      </c>
      <c r="E340">
        <v>42465.452840999998</v>
      </c>
      <c r="G340">
        <v>42465.452840999998</v>
      </c>
      <c r="H340">
        <v>4114008066.9674501</v>
      </c>
      <c r="I340">
        <v>4437538381.3224897</v>
      </c>
      <c r="J340">
        <v>2.4650586049138768E-2</v>
      </c>
      <c r="K340">
        <v>3552.0858464830599</v>
      </c>
      <c r="L340">
        <v>1.696434643353123E-2</v>
      </c>
      <c r="M340">
        <v>3492.8322304908102</v>
      </c>
      <c r="N340">
        <v>6.2213752893311796</v>
      </c>
      <c r="P340">
        <v>20.752005750826498</v>
      </c>
      <c r="Q340">
        <v>27.225153594723199</v>
      </c>
      <c r="R340">
        <v>1158195</v>
      </c>
      <c r="S340">
        <v>7.5580227001662455E-3</v>
      </c>
      <c r="U340">
        <v>3.03</v>
      </c>
      <c r="V340">
        <v>37.202219999999997</v>
      </c>
      <c r="W340">
        <v>7.5951870000000001</v>
      </c>
      <c r="X340">
        <v>86.83426</v>
      </c>
      <c r="Y340">
        <v>35.299999999999997</v>
      </c>
      <c r="AJ340">
        <v>-0.27456215023994451</v>
      </c>
      <c r="AK340">
        <v>-0.26097935438156128</v>
      </c>
      <c r="AM340">
        <f>VLOOKUP(D340,[1]Sheet1!$C$1:$D$191,2,FALSE)</f>
        <v>42</v>
      </c>
    </row>
    <row r="341" spans="1:39" x14ac:dyDescent="0.35">
      <c r="A341">
        <v>2018</v>
      </c>
      <c r="B341" t="s">
        <v>45</v>
      </c>
      <c r="C341">
        <v>42</v>
      </c>
      <c r="D341" t="s">
        <v>247</v>
      </c>
      <c r="E341">
        <v>46800.74</v>
      </c>
      <c r="G341">
        <v>46800.74</v>
      </c>
      <c r="H341">
        <v>4145651841.8002</v>
      </c>
      <c r="I341">
        <v>4659474399.74018</v>
      </c>
      <c r="J341">
        <v>7.6917143373701142E-3</v>
      </c>
      <c r="K341">
        <v>3546.53861936884</v>
      </c>
      <c r="L341">
        <v>-1.5616816017304772E-3</v>
      </c>
      <c r="M341">
        <v>3552.0858464830599</v>
      </c>
      <c r="N341">
        <v>4.81506167461513</v>
      </c>
      <c r="P341">
        <v>20.9181830832689</v>
      </c>
      <c r="Q341">
        <v>26.673457591592999</v>
      </c>
      <c r="R341">
        <v>1168929</v>
      </c>
      <c r="S341">
        <v>9.2678694002305308E-3</v>
      </c>
      <c r="U341">
        <v>3.03</v>
      </c>
      <c r="V341">
        <v>40.812728</v>
      </c>
      <c r="W341">
        <v>6.8317759999999996</v>
      </c>
      <c r="X341">
        <v>100</v>
      </c>
      <c r="Y341">
        <v>39.4</v>
      </c>
      <c r="AJ341">
        <v>-0.27630573511123657</v>
      </c>
      <c r="AK341">
        <v>-0.50625801086425781</v>
      </c>
      <c r="AM341">
        <f>VLOOKUP(D341,[1]Sheet1!$C$1:$D$191,2,FALSE)</f>
        <v>42</v>
      </c>
    </row>
    <row r="342" spans="1:39" x14ac:dyDescent="0.35">
      <c r="A342">
        <v>2020</v>
      </c>
      <c r="B342" t="s">
        <v>45</v>
      </c>
      <c r="C342">
        <v>42</v>
      </c>
      <c r="D342" t="s">
        <v>247</v>
      </c>
      <c r="E342">
        <v>44131.46</v>
      </c>
      <c r="G342">
        <v>44131.46</v>
      </c>
      <c r="H342">
        <v>4225737498.25845</v>
      </c>
      <c r="I342">
        <v>4105756862.5527101</v>
      </c>
      <c r="J342">
        <v>-2.8870629603835251E-2</v>
      </c>
      <c r="K342">
        <v>3542.9150278549801</v>
      </c>
      <c r="L342">
        <v>-3.9337272115623975E-2</v>
      </c>
      <c r="M342">
        <v>3687.9905142748498</v>
      </c>
      <c r="P342">
        <v>21.112026886272201</v>
      </c>
      <c r="Q342">
        <v>26.253151754832398</v>
      </c>
      <c r="R342">
        <v>1192729</v>
      </c>
      <c r="S342">
        <v>1.089523118570288E-2</v>
      </c>
      <c r="U342">
        <v>3.08</v>
      </c>
      <c r="V342">
        <v>39.820051999999997</v>
      </c>
      <c r="W342">
        <v>0</v>
      </c>
      <c r="X342">
        <v>0</v>
      </c>
      <c r="Y342">
        <v>49.012999999999998</v>
      </c>
      <c r="AI342">
        <v>1</v>
      </c>
      <c r="AJ342">
        <v>-0.49907180666923517</v>
      </c>
      <c r="AK342">
        <v>-0.49218195676803589</v>
      </c>
      <c r="AM342">
        <f>VLOOKUP(D342,[1]Sheet1!$C$1:$D$191,2,FALSE)</f>
        <v>42</v>
      </c>
    </row>
    <row r="343" spans="1:39" x14ac:dyDescent="0.35">
      <c r="A343">
        <v>2013</v>
      </c>
      <c r="B343" t="s">
        <v>46</v>
      </c>
      <c r="C343">
        <v>43</v>
      </c>
      <c r="D343" t="s">
        <v>248</v>
      </c>
      <c r="E343">
        <v>75310.436419490507</v>
      </c>
      <c r="G343">
        <v>75310.436419490507</v>
      </c>
      <c r="H343">
        <v>53065618849.706299</v>
      </c>
      <c r="I343">
        <v>47648276605.012299</v>
      </c>
      <c r="J343">
        <v>0.10582270048267098</v>
      </c>
      <c r="K343">
        <v>539.07245175943297</v>
      </c>
      <c r="L343">
        <v>7.6166145452722725E-2</v>
      </c>
      <c r="M343">
        <v>500.91935528473198</v>
      </c>
      <c r="N343">
        <v>7.4640219294451704</v>
      </c>
      <c r="O343">
        <v>41.471787080762503</v>
      </c>
      <c r="Q343">
        <v>10.2119139511192</v>
      </c>
      <c r="R343">
        <v>98438751</v>
      </c>
      <c r="S343">
        <v>2.7557598940704531E-2</v>
      </c>
      <c r="T343">
        <v>79.141000000000005</v>
      </c>
      <c r="U343">
        <v>3.83</v>
      </c>
      <c r="V343">
        <v>0</v>
      </c>
      <c r="W343">
        <v>6.938034</v>
      </c>
      <c r="X343">
        <v>83.567089999999993</v>
      </c>
      <c r="Y343">
        <v>4.5999999999999996</v>
      </c>
      <c r="AJ343">
        <v>-0.6496586799621582</v>
      </c>
      <c r="AK343">
        <v>-1.1356687545776369</v>
      </c>
      <c r="AL343">
        <v>1.99545E-2</v>
      </c>
      <c r="AM343">
        <f>VLOOKUP(D343,[1]Sheet1!$C$1:$D$191,2,FALSE)</f>
        <v>43</v>
      </c>
    </row>
    <row r="344" spans="1:39" x14ac:dyDescent="0.35">
      <c r="A344">
        <v>2014</v>
      </c>
      <c r="B344" t="s">
        <v>46</v>
      </c>
      <c r="C344">
        <v>43</v>
      </c>
      <c r="D344" t="s">
        <v>248</v>
      </c>
      <c r="E344">
        <v>407838.11769432621</v>
      </c>
      <c r="G344">
        <v>407838.11769432621</v>
      </c>
      <c r="H344">
        <v>58508820967.928703</v>
      </c>
      <c r="I344">
        <v>55612228233.517899</v>
      </c>
      <c r="J344">
        <v>0.10257492961005073</v>
      </c>
      <c r="K344">
        <v>578.63292292781296</v>
      </c>
      <c r="L344">
        <v>7.3386185918538252E-2</v>
      </c>
      <c r="M344">
        <v>539.07245175943297</v>
      </c>
      <c r="N344">
        <v>6.89001951597192</v>
      </c>
      <c r="O344">
        <v>40.741084149862601</v>
      </c>
      <c r="Q344">
        <v>9.5524336765539903</v>
      </c>
      <c r="R344">
        <v>101115610</v>
      </c>
      <c r="S344">
        <v>2.7193142667972292E-2</v>
      </c>
      <c r="U344">
        <v>3.72</v>
      </c>
      <c r="V344">
        <v>0</v>
      </c>
      <c r="W344">
        <v>4.3633069999999998</v>
      </c>
      <c r="X344">
        <v>84.316509999999994</v>
      </c>
      <c r="Y344">
        <v>7.7</v>
      </c>
      <c r="Z344">
        <v>5.9192507771212997</v>
      </c>
      <c r="AJ344">
        <v>-0.46858373284339899</v>
      </c>
      <c r="AK344">
        <v>-1.0784140825271611</v>
      </c>
      <c r="AL344">
        <v>5.3801750000000001E-3</v>
      </c>
      <c r="AM344">
        <f>VLOOKUP(D344,[1]Sheet1!$C$1:$D$191,2,FALSE)</f>
        <v>43</v>
      </c>
    </row>
    <row r="345" spans="1:39" x14ac:dyDescent="0.35">
      <c r="A345">
        <v>2015</v>
      </c>
      <c r="B345" t="s">
        <v>46</v>
      </c>
      <c r="C345">
        <v>43</v>
      </c>
      <c r="D345" t="s">
        <v>248</v>
      </c>
      <c r="E345">
        <v>917144.95875956037</v>
      </c>
      <c r="G345">
        <v>917144.95875956037</v>
      </c>
      <c r="H345">
        <v>64589328550.595299</v>
      </c>
      <c r="I345">
        <v>64589328550.595299</v>
      </c>
      <c r="J345">
        <v>0.10392463020233467</v>
      </c>
      <c r="K345">
        <v>621.84567380813303</v>
      </c>
      <c r="L345">
        <v>7.4680767664703135E-2</v>
      </c>
      <c r="M345">
        <v>578.63292292781296</v>
      </c>
      <c r="N345">
        <v>9.5688995596862298</v>
      </c>
      <c r="O345">
        <v>39.656124144951498</v>
      </c>
      <c r="Q345">
        <v>10.377637013547201</v>
      </c>
      <c r="R345">
        <v>103867135</v>
      </c>
      <c r="S345">
        <v>2.7211673845413186E-2</v>
      </c>
      <c r="U345">
        <v>3.83</v>
      </c>
      <c r="V345">
        <v>0</v>
      </c>
      <c r="W345">
        <v>7.2217760000000002</v>
      </c>
      <c r="X345">
        <v>81.615319999999997</v>
      </c>
      <c r="Y345">
        <v>13.8552</v>
      </c>
      <c r="AJ345">
        <v>-0.52720171213150024</v>
      </c>
      <c r="AK345">
        <v>-1.057965159416199</v>
      </c>
      <c r="AL345">
        <v>1.3039200000000001E-2</v>
      </c>
      <c r="AM345">
        <f>VLOOKUP(D345,[1]Sheet1!$C$1:$D$191,2,FALSE)</f>
        <v>43</v>
      </c>
    </row>
    <row r="346" spans="1:39" x14ac:dyDescent="0.35">
      <c r="A346">
        <v>2016</v>
      </c>
      <c r="B346" t="s">
        <v>46</v>
      </c>
      <c r="C346">
        <v>43</v>
      </c>
      <c r="D346" t="s">
        <v>248</v>
      </c>
      <c r="E346">
        <v>105718.95855424969</v>
      </c>
      <c r="G346">
        <v>105718.95855424971</v>
      </c>
      <c r="H346">
        <v>70682351658.233597</v>
      </c>
      <c r="I346">
        <v>74296745207.872101</v>
      </c>
      <c r="J346">
        <v>9.4334826578440112E-2</v>
      </c>
      <c r="K346">
        <v>662.32729587521999</v>
      </c>
      <c r="L346">
        <v>6.509914561145172E-2</v>
      </c>
      <c r="M346">
        <v>621.84567380813303</v>
      </c>
      <c r="N346">
        <v>6.6281333723092404</v>
      </c>
      <c r="O346">
        <v>34.899052800942798</v>
      </c>
      <c r="Q346">
        <v>10.0892965416291</v>
      </c>
      <c r="R346">
        <v>106718162</v>
      </c>
      <c r="S346">
        <v>2.7448788300553393E-2</v>
      </c>
      <c r="U346">
        <v>3.6</v>
      </c>
      <c r="V346">
        <v>0</v>
      </c>
      <c r="W346">
        <v>4.9400630000000003</v>
      </c>
      <c r="X346">
        <v>80.991140000000001</v>
      </c>
      <c r="Y346">
        <v>15.366899999999999</v>
      </c>
      <c r="AJ346">
        <v>-0.50781869888305664</v>
      </c>
      <c r="AK346">
        <v>-1.109604597091675</v>
      </c>
      <c r="AL346">
        <v>6.3441575E-2</v>
      </c>
      <c r="AM346">
        <f>VLOOKUP(D346,[1]Sheet1!$C$1:$D$191,2,FALSE)</f>
        <v>43</v>
      </c>
    </row>
    <row r="347" spans="1:39" x14ac:dyDescent="0.35">
      <c r="A347">
        <v>2017</v>
      </c>
      <c r="B347" t="s">
        <v>46</v>
      </c>
      <c r="C347">
        <v>43</v>
      </c>
      <c r="D347" t="s">
        <v>248</v>
      </c>
      <c r="E347">
        <v>344764.92653689999</v>
      </c>
      <c r="G347">
        <v>344764.92653689999</v>
      </c>
      <c r="H347">
        <v>77442545814.928207</v>
      </c>
      <c r="I347">
        <v>81770886825.604797</v>
      </c>
      <c r="J347">
        <v>9.5641896429561335E-2</v>
      </c>
      <c r="K347">
        <v>706.16422728954103</v>
      </c>
      <c r="L347">
        <v>6.6186206860753868E-2</v>
      </c>
      <c r="M347">
        <v>662.32729587521999</v>
      </c>
      <c r="N347">
        <v>10.687115028423801</v>
      </c>
      <c r="O347">
        <v>31.103631302290601</v>
      </c>
      <c r="Q347">
        <v>11.232503563404</v>
      </c>
      <c r="R347">
        <v>109666481</v>
      </c>
      <c r="S347">
        <v>2.7627153098832419E-2</v>
      </c>
      <c r="U347">
        <v>3.42</v>
      </c>
      <c r="V347">
        <v>0</v>
      </c>
      <c r="W347">
        <v>4.724348</v>
      </c>
      <c r="X347">
        <v>79.591419999999999</v>
      </c>
      <c r="Y347">
        <v>15.6</v>
      </c>
      <c r="AJ347">
        <v>-0.46982043981552118</v>
      </c>
      <c r="AK347">
        <v>-1.0297976732254031</v>
      </c>
      <c r="AL347">
        <v>7.9954800000000006E-2</v>
      </c>
      <c r="AM347">
        <f>VLOOKUP(D347,[1]Sheet1!$C$1:$D$191,2,FALSE)</f>
        <v>43</v>
      </c>
    </row>
    <row r="348" spans="1:39" x14ac:dyDescent="0.35">
      <c r="A348">
        <v>2018</v>
      </c>
      <c r="B348" t="s">
        <v>46</v>
      </c>
      <c r="C348">
        <v>43</v>
      </c>
      <c r="D348" t="s">
        <v>248</v>
      </c>
      <c r="E348">
        <v>73820.773014000006</v>
      </c>
      <c r="G348">
        <v>73820.773014000006</v>
      </c>
      <c r="H348">
        <v>82721144195.291397</v>
      </c>
      <c r="I348">
        <v>84269196625.878403</v>
      </c>
      <c r="J348">
        <v>6.8161477968169543E-2</v>
      </c>
      <c r="K348">
        <v>734.22772662675698</v>
      </c>
      <c r="L348">
        <v>3.9740754703663804E-2</v>
      </c>
      <c r="M348">
        <v>706.16422728954103</v>
      </c>
      <c r="N348">
        <v>13.8330356586661</v>
      </c>
      <c r="O348">
        <v>31.199374943469</v>
      </c>
      <c r="Q348">
        <v>10.8174753935638</v>
      </c>
      <c r="R348">
        <v>112664152</v>
      </c>
      <c r="S348">
        <v>2.7334432295680208E-2</v>
      </c>
      <c r="U348">
        <v>3.35</v>
      </c>
      <c r="V348">
        <v>0</v>
      </c>
      <c r="W348">
        <v>4.9879290000000003</v>
      </c>
      <c r="X348">
        <v>77.897660000000002</v>
      </c>
      <c r="Y348">
        <v>15.9</v>
      </c>
      <c r="AJ348">
        <v>-0.44471761584281921</v>
      </c>
      <c r="AK348">
        <v>-0.98472243547439575</v>
      </c>
      <c r="AL348">
        <v>2.7912425000000001E-2</v>
      </c>
      <c r="AM348">
        <f>VLOOKUP(D348,[1]Sheet1!$C$1:$D$191,2,FALSE)</f>
        <v>43</v>
      </c>
    </row>
    <row r="349" spans="1:39" x14ac:dyDescent="0.35">
      <c r="A349">
        <v>2019</v>
      </c>
      <c r="B349" t="s">
        <v>46</v>
      </c>
      <c r="C349">
        <v>43</v>
      </c>
      <c r="D349" t="s">
        <v>248</v>
      </c>
      <c r="E349">
        <v>30296.1366079</v>
      </c>
      <c r="G349">
        <v>30296.1366079</v>
      </c>
      <c r="H349">
        <v>89640011587.044205</v>
      </c>
      <c r="I349">
        <v>95912607722.303207</v>
      </c>
      <c r="J349">
        <v>8.3640856990789048E-2</v>
      </c>
      <c r="K349">
        <v>774.51216939166704</v>
      </c>
      <c r="L349">
        <v>5.486641447060004E-2</v>
      </c>
      <c r="M349">
        <v>734.22772662675698</v>
      </c>
      <c r="N349">
        <v>15.8096321719344</v>
      </c>
      <c r="O349">
        <v>28.815301007042301</v>
      </c>
      <c r="Q349">
        <v>9.70541703490996</v>
      </c>
      <c r="R349">
        <v>115737383</v>
      </c>
      <c r="S349">
        <v>2.7277807052592914E-2</v>
      </c>
      <c r="U349">
        <v>3.44</v>
      </c>
      <c r="V349">
        <v>0</v>
      </c>
      <c r="W349">
        <v>5.1107639999999996</v>
      </c>
      <c r="X349">
        <v>77.803939999999997</v>
      </c>
      <c r="Y349">
        <v>16</v>
      </c>
      <c r="AJ349">
        <v>-0.48202317953109741</v>
      </c>
      <c r="AK349">
        <v>-0.91063201427459717</v>
      </c>
      <c r="AL349">
        <v>7.4332099999999998E-2</v>
      </c>
      <c r="AM349">
        <f>VLOOKUP(D349,[1]Sheet1!$C$1:$D$191,2,FALSE)</f>
        <v>43</v>
      </c>
    </row>
    <row r="350" spans="1:39" x14ac:dyDescent="0.35">
      <c r="A350">
        <v>2020</v>
      </c>
      <c r="B350" t="s">
        <v>46</v>
      </c>
      <c r="C350">
        <v>43</v>
      </c>
      <c r="D350" t="s">
        <v>248</v>
      </c>
      <c r="E350">
        <v>21608.59</v>
      </c>
      <c r="G350">
        <v>21608.59</v>
      </c>
      <c r="H350">
        <v>95071775775.763901</v>
      </c>
      <c r="I350">
        <v>107657734392.446</v>
      </c>
      <c r="J350">
        <v>6.0595308864337054E-2</v>
      </c>
      <c r="K350">
        <v>799.47559497498003</v>
      </c>
      <c r="L350">
        <v>3.2231159909237139E-2</v>
      </c>
      <c r="M350">
        <v>774.51216939166704</v>
      </c>
      <c r="N350">
        <v>20.3563468559061</v>
      </c>
      <c r="O350">
        <v>24.006113643481999</v>
      </c>
      <c r="Q350">
        <v>8.4122685146480602</v>
      </c>
      <c r="R350">
        <v>118917671</v>
      </c>
      <c r="S350">
        <v>2.7478485495045279E-2</v>
      </c>
      <c r="U350">
        <v>3.38</v>
      </c>
      <c r="V350">
        <v>0</v>
      </c>
      <c r="W350">
        <v>4.9334490000000004</v>
      </c>
      <c r="X350">
        <v>76.015789999999996</v>
      </c>
      <c r="Y350">
        <v>16.069600000000001</v>
      </c>
      <c r="AJ350">
        <v>-0.40288859605789179</v>
      </c>
      <c r="AK350">
        <v>-0.97550129890441895</v>
      </c>
      <c r="AL350">
        <v>9.8078600000000002E-2</v>
      </c>
      <c r="AM350">
        <f>VLOOKUP(D350,[1]Sheet1!$C$1:$D$191,2,FALSE)</f>
        <v>43</v>
      </c>
    </row>
    <row r="351" spans="1:39" x14ac:dyDescent="0.35">
      <c r="A351">
        <v>2013</v>
      </c>
      <c r="B351" t="s">
        <v>47</v>
      </c>
      <c r="C351">
        <v>44</v>
      </c>
      <c r="D351" t="s">
        <v>249</v>
      </c>
      <c r="E351">
        <v>375</v>
      </c>
      <c r="G351">
        <v>375</v>
      </c>
      <c r="H351">
        <v>13273296028.5793</v>
      </c>
      <c r="I351">
        <v>17595744798.339802</v>
      </c>
      <c r="J351">
        <v>5.6386990033862328E-2</v>
      </c>
      <c r="K351">
        <v>6938.2575386223598</v>
      </c>
      <c r="L351">
        <v>1.9848060951943518E-2</v>
      </c>
      <c r="M351">
        <v>6803.2266807921096</v>
      </c>
      <c r="N351">
        <v>0.50544105891561497</v>
      </c>
      <c r="O351">
        <v>90.635036147864497</v>
      </c>
      <c r="P351">
        <v>15.012821298493</v>
      </c>
      <c r="Q351">
        <v>16.330781875643002</v>
      </c>
      <c r="R351">
        <v>1913059</v>
      </c>
      <c r="S351">
        <v>3.5827816398278402E-2</v>
      </c>
      <c r="U351">
        <v>3.76</v>
      </c>
      <c r="V351">
        <v>12.848193</v>
      </c>
      <c r="W351">
        <v>7.2237520000000002</v>
      </c>
      <c r="X351">
        <v>79.933790000000002</v>
      </c>
      <c r="Y351">
        <v>30.538</v>
      </c>
      <c r="AJ351">
        <v>-0.52260303497314453</v>
      </c>
      <c r="AK351">
        <v>-0.61410313844680786</v>
      </c>
      <c r="AL351">
        <v>9.6627750000000002E-3</v>
      </c>
      <c r="AM351">
        <f>VLOOKUP(D351,[1]Sheet1!$C$1:$D$191,2,FALSE)</f>
        <v>44</v>
      </c>
    </row>
    <row r="352" spans="1:39" x14ac:dyDescent="0.35">
      <c r="A352">
        <v>2015</v>
      </c>
      <c r="B352" t="s">
        <v>47</v>
      </c>
      <c r="C352">
        <v>44</v>
      </c>
      <c r="D352" t="s">
        <v>249</v>
      </c>
      <c r="E352">
        <v>21</v>
      </c>
      <c r="G352">
        <v>21</v>
      </c>
      <c r="H352">
        <v>14383107762.6952</v>
      </c>
      <c r="I352">
        <v>14383107762.6952</v>
      </c>
      <c r="J352">
        <v>3.8788993950791835E-2</v>
      </c>
      <c r="K352">
        <v>7047.1265463435502</v>
      </c>
      <c r="L352">
        <v>6.9329657549583338E-3</v>
      </c>
      <c r="M352">
        <v>6998.6054543957598</v>
      </c>
      <c r="N352">
        <v>-0.33879518875340597</v>
      </c>
      <c r="O352">
        <v>73.949781458828099</v>
      </c>
      <c r="P352">
        <v>14.516147228623799</v>
      </c>
      <c r="Q352">
        <v>17.185187234898599</v>
      </c>
      <c r="R352">
        <v>2040989</v>
      </c>
      <c r="S352">
        <v>3.1636692092949906E-2</v>
      </c>
      <c r="U352">
        <v>3.76</v>
      </c>
      <c r="V352">
        <v>0</v>
      </c>
      <c r="W352">
        <v>2.4274140000000002</v>
      </c>
      <c r="X352">
        <v>89.730050000000006</v>
      </c>
      <c r="Y352">
        <v>45.784500000000001</v>
      </c>
      <c r="AJ352">
        <v>-0.56437301635742188</v>
      </c>
      <c r="AK352">
        <v>-0.73297196626663208</v>
      </c>
      <c r="AL352">
        <v>1.4405474999999999E-2</v>
      </c>
      <c r="AM352">
        <f>VLOOKUP(D352,[1]Sheet1!$C$1:$D$191,2,FALSE)</f>
        <v>44</v>
      </c>
    </row>
    <row r="353" spans="1:39" x14ac:dyDescent="0.35">
      <c r="A353">
        <v>2013</v>
      </c>
      <c r="B353" t="s">
        <v>48</v>
      </c>
      <c r="C353">
        <v>45</v>
      </c>
      <c r="D353" t="s">
        <v>250</v>
      </c>
      <c r="E353">
        <v>3634</v>
      </c>
      <c r="G353">
        <v>3634</v>
      </c>
      <c r="H353">
        <v>1343336129.3654399</v>
      </c>
      <c r="I353">
        <v>1375609453.4374599</v>
      </c>
      <c r="J353">
        <v>2.8727687903270006E-2</v>
      </c>
      <c r="K353">
        <v>638.52236853221405</v>
      </c>
      <c r="L353">
        <v>-9.6616307999554374E-4</v>
      </c>
      <c r="M353">
        <v>639.13988188904796</v>
      </c>
      <c r="N353">
        <v>5.6991298963738197</v>
      </c>
      <c r="O353">
        <v>45.461919362329603</v>
      </c>
      <c r="P353">
        <v>9.9810008558900503</v>
      </c>
      <c r="R353">
        <v>2103820</v>
      </c>
      <c r="S353">
        <v>2.9722567830946595E-2</v>
      </c>
      <c r="U353">
        <v>3.31</v>
      </c>
      <c r="V353">
        <v>5.3493937999999996</v>
      </c>
      <c r="W353">
        <v>0</v>
      </c>
      <c r="X353">
        <v>0</v>
      </c>
      <c r="Y353">
        <v>14</v>
      </c>
      <c r="AJ353">
        <v>-0.64950203895568848</v>
      </c>
      <c r="AK353">
        <v>-0.37771636247634888</v>
      </c>
      <c r="AL353">
        <v>1.0638450000000001E-2</v>
      </c>
      <c r="AM353">
        <f>VLOOKUP(D353,[1]Sheet1!$C$1:$D$191,2,FALSE)</f>
        <v>45</v>
      </c>
    </row>
    <row r="354" spans="1:39" x14ac:dyDescent="0.35">
      <c r="A354">
        <v>2014</v>
      </c>
      <c r="B354" t="s">
        <v>48</v>
      </c>
      <c r="C354">
        <v>45</v>
      </c>
      <c r="D354" t="s">
        <v>250</v>
      </c>
      <c r="E354">
        <v>43555.821610949992</v>
      </c>
      <c r="G354">
        <v>43555.821610949992</v>
      </c>
      <c r="H354">
        <v>1324430251.8302701</v>
      </c>
      <c r="I354">
        <v>1229461721.4086101</v>
      </c>
      <c r="J354">
        <v>-1.4073824951094353E-2</v>
      </c>
      <c r="K354">
        <v>611.87947295219601</v>
      </c>
      <c r="L354">
        <v>-4.1725860976903076E-2</v>
      </c>
      <c r="M354">
        <v>638.52236853221405</v>
      </c>
      <c r="N354">
        <v>5.9479993569662604</v>
      </c>
      <c r="O354">
        <v>58.257930775226399</v>
      </c>
      <c r="P354">
        <v>8.8311855558866004</v>
      </c>
      <c r="R354">
        <v>2164528</v>
      </c>
      <c r="S354">
        <v>2.8856080843418164E-2</v>
      </c>
      <c r="U354">
        <v>3.05</v>
      </c>
      <c r="V354">
        <v>5.6231524000000004</v>
      </c>
      <c r="W354">
        <v>0</v>
      </c>
      <c r="X354">
        <v>0</v>
      </c>
      <c r="Y354">
        <v>15.56</v>
      </c>
      <c r="AJ354">
        <v>-0.69665050506591797</v>
      </c>
      <c r="AK354">
        <v>-0.49885109066963201</v>
      </c>
      <c r="AL354">
        <v>0</v>
      </c>
      <c r="AM354">
        <f>VLOOKUP(D354,[1]Sheet1!$C$1:$D$191,2,FALSE)</f>
        <v>45</v>
      </c>
    </row>
    <row r="355" spans="1:39" x14ac:dyDescent="0.35">
      <c r="A355">
        <v>2015</v>
      </c>
      <c r="B355" t="s">
        <v>48</v>
      </c>
      <c r="C355">
        <v>45</v>
      </c>
      <c r="D355" t="s">
        <v>250</v>
      </c>
      <c r="E355">
        <v>15589.9782827694</v>
      </c>
      <c r="G355">
        <v>15589.9782827694</v>
      </c>
      <c r="H355">
        <v>1378176608.93204</v>
      </c>
      <c r="I355">
        <v>1378176608.93204</v>
      </c>
      <c r="J355">
        <v>4.0580738039995852E-2</v>
      </c>
      <c r="K355">
        <v>619.53636429646099</v>
      </c>
      <c r="L355">
        <v>1.2513724814663268E-2</v>
      </c>
      <c r="M355">
        <v>611.87947295219601</v>
      </c>
      <c r="N355">
        <v>6.8084549457961003</v>
      </c>
      <c r="O355">
        <v>44.5223730803813</v>
      </c>
      <c r="R355">
        <v>2224529</v>
      </c>
      <c r="S355">
        <v>2.7720131132514803E-2</v>
      </c>
      <c r="U355">
        <v>2.97</v>
      </c>
      <c r="V355">
        <v>5.7015792999999997</v>
      </c>
      <c r="W355">
        <v>10.24302</v>
      </c>
      <c r="X355">
        <v>100</v>
      </c>
      <c r="Y355">
        <v>17.600000000000001</v>
      </c>
      <c r="AJ355">
        <v>-0.7454712986946106</v>
      </c>
      <c r="AK355">
        <v>-0.5809590220451355</v>
      </c>
      <c r="AL355">
        <v>1.0300775E-2</v>
      </c>
      <c r="AM355">
        <f>VLOOKUP(D355,[1]Sheet1!$C$1:$D$191,2,FALSE)</f>
        <v>45</v>
      </c>
    </row>
    <row r="356" spans="1:39" x14ac:dyDescent="0.35">
      <c r="A356">
        <v>2016</v>
      </c>
      <c r="B356" t="s">
        <v>48</v>
      </c>
      <c r="C356">
        <v>45</v>
      </c>
      <c r="D356" t="s">
        <v>250</v>
      </c>
      <c r="E356">
        <v>23990.8591095109</v>
      </c>
      <c r="G356">
        <v>23990.8591095109</v>
      </c>
      <c r="H356">
        <v>1404959537.1217501</v>
      </c>
      <c r="I356">
        <v>1484578885.9713199</v>
      </c>
      <c r="J356">
        <v>1.9433596547879625E-2</v>
      </c>
      <c r="K356">
        <v>615.19336549438594</v>
      </c>
      <c r="L356">
        <v>-7.0100789111982283E-3</v>
      </c>
      <c r="M356">
        <v>619.53636429646099</v>
      </c>
      <c r="N356">
        <v>7.2287927205792197</v>
      </c>
      <c r="O356">
        <v>38.114087956594801</v>
      </c>
      <c r="R356">
        <v>2283769</v>
      </c>
      <c r="S356">
        <v>2.6630356358581974E-2</v>
      </c>
      <c r="U356">
        <v>2.91</v>
      </c>
      <c r="V356">
        <v>7.6229025999999998</v>
      </c>
      <c r="W356">
        <v>9.5675910000000002</v>
      </c>
      <c r="X356">
        <v>100</v>
      </c>
      <c r="Y356">
        <v>19.899999999999999</v>
      </c>
      <c r="AJ356">
        <v>-0.79870855808258057</v>
      </c>
      <c r="AK356">
        <v>-0.58120572566986084</v>
      </c>
      <c r="AL356">
        <v>9.2162425000000006E-2</v>
      </c>
      <c r="AM356">
        <f>VLOOKUP(D356,[1]Sheet1!$C$1:$D$191,2,FALSE)</f>
        <v>45</v>
      </c>
    </row>
    <row r="357" spans="1:39" x14ac:dyDescent="0.35">
      <c r="A357">
        <v>2017</v>
      </c>
      <c r="B357" t="s">
        <v>48</v>
      </c>
      <c r="C357">
        <v>45</v>
      </c>
      <c r="D357" t="s">
        <v>250</v>
      </c>
      <c r="E357">
        <v>11878</v>
      </c>
      <c r="G357">
        <v>11878</v>
      </c>
      <c r="H357">
        <v>1472715273.8067501</v>
      </c>
      <c r="I357">
        <v>1504909462.69521</v>
      </c>
      <c r="J357">
        <v>4.8226112492753166E-2</v>
      </c>
      <c r="K357">
        <v>628.77729927292501</v>
      </c>
      <c r="L357">
        <v>2.2080754670724786E-2</v>
      </c>
      <c r="M357">
        <v>615.19336549438594</v>
      </c>
      <c r="N357">
        <v>8.0341897454591091</v>
      </c>
      <c r="O357">
        <v>55.7335796090833</v>
      </c>
      <c r="P357">
        <v>6.0922163048514602</v>
      </c>
      <c r="R357">
        <v>2342189</v>
      </c>
      <c r="S357">
        <v>2.5580520621831717E-2</v>
      </c>
      <c r="U357">
        <v>4.0599999999999996</v>
      </c>
      <c r="V357">
        <v>8.8512535000000003</v>
      </c>
      <c r="W357">
        <v>8.6526150000000008</v>
      </c>
      <c r="X357">
        <v>100</v>
      </c>
      <c r="Y357">
        <v>22.5</v>
      </c>
      <c r="AJ357">
        <v>-0.45393157005310059</v>
      </c>
      <c r="AK357">
        <v>-0.51148289442062378</v>
      </c>
      <c r="AL357">
        <v>0.154539125</v>
      </c>
      <c r="AM357">
        <f>VLOOKUP(D357,[1]Sheet1!$C$1:$D$191,2,FALSE)</f>
        <v>45</v>
      </c>
    </row>
    <row r="358" spans="1:39" x14ac:dyDescent="0.35">
      <c r="A358">
        <v>2018</v>
      </c>
      <c r="B358" t="s">
        <v>48</v>
      </c>
      <c r="C358">
        <v>45</v>
      </c>
      <c r="D358" t="s">
        <v>250</v>
      </c>
      <c r="E358">
        <v>7604.34375</v>
      </c>
      <c r="G358">
        <v>7604.34375</v>
      </c>
      <c r="H358">
        <v>1579264608.77791</v>
      </c>
      <c r="I358">
        <v>1670671327.81651</v>
      </c>
      <c r="J358">
        <v>7.2348903325858596E-2</v>
      </c>
      <c r="K358">
        <v>658.12783325856299</v>
      </c>
      <c r="L358">
        <v>4.6678743045553535E-2</v>
      </c>
      <c r="M358">
        <v>628.77729927292501</v>
      </c>
      <c r="N358">
        <v>6.5209682394657298</v>
      </c>
      <c r="O358">
        <v>64.812464000373495</v>
      </c>
      <c r="P358">
        <v>7.0522680453700097</v>
      </c>
      <c r="R358">
        <v>2399632</v>
      </c>
      <c r="S358">
        <v>2.452534786902338E-2</v>
      </c>
      <c r="T358">
        <v>51.460999999999999</v>
      </c>
      <c r="U358">
        <v>4.3099999999999996</v>
      </c>
      <c r="V358">
        <v>7.5547483</v>
      </c>
      <c r="W358">
        <v>8.3516829999999995</v>
      </c>
      <c r="X358">
        <v>70.512789999999995</v>
      </c>
      <c r="Y358">
        <v>28.3</v>
      </c>
      <c r="AJ358">
        <v>-0.45575711131095892</v>
      </c>
      <c r="AK358">
        <v>-0.67388135194778442</v>
      </c>
      <c r="AL358">
        <v>6.3009949999999995E-2</v>
      </c>
      <c r="AM358">
        <f>VLOOKUP(D358,[1]Sheet1!$C$1:$D$191,2,FALSE)</f>
        <v>45</v>
      </c>
    </row>
    <row r="359" spans="1:39" x14ac:dyDescent="0.35">
      <c r="A359">
        <v>2019</v>
      </c>
      <c r="B359" t="s">
        <v>48</v>
      </c>
      <c r="C359">
        <v>45</v>
      </c>
      <c r="D359" t="s">
        <v>250</v>
      </c>
      <c r="E359">
        <v>2132.3244533000002</v>
      </c>
      <c r="G359">
        <v>2132.3244533000002</v>
      </c>
      <c r="H359">
        <v>1677527292.27233</v>
      </c>
      <c r="I359">
        <v>1813609692.4999399</v>
      </c>
      <c r="J359">
        <v>6.2220531599488663E-2</v>
      </c>
      <c r="K359">
        <v>682.79764294042604</v>
      </c>
      <c r="L359">
        <v>3.7484829595667422E-2</v>
      </c>
      <c r="M359">
        <v>658.12783325856299</v>
      </c>
      <c r="N359">
        <v>7.1156762563119198</v>
      </c>
      <c r="O359">
        <v>55.997911618699298</v>
      </c>
      <c r="P359">
        <v>8.2021724578564008</v>
      </c>
      <c r="R359">
        <v>2456844</v>
      </c>
      <c r="S359">
        <v>2.38419891049961E-2</v>
      </c>
      <c r="U359">
        <v>4.33</v>
      </c>
      <c r="V359">
        <v>8.1571975999999999</v>
      </c>
      <c r="W359">
        <v>6.7703569999999997</v>
      </c>
      <c r="X359">
        <v>70.181920000000005</v>
      </c>
      <c r="Y359">
        <v>31.118300000000001</v>
      </c>
      <c r="AJ359">
        <v>-0.40560030937194819</v>
      </c>
      <c r="AK359">
        <v>-0.71723431348800659</v>
      </c>
      <c r="AL359">
        <v>6.0518500000000003E-2</v>
      </c>
      <c r="AM359">
        <f>VLOOKUP(D359,[1]Sheet1!$C$1:$D$191,2,FALSE)</f>
        <v>45</v>
      </c>
    </row>
    <row r="360" spans="1:39" x14ac:dyDescent="0.35">
      <c r="A360">
        <v>2020</v>
      </c>
      <c r="B360" t="s">
        <v>48</v>
      </c>
      <c r="C360">
        <v>45</v>
      </c>
      <c r="D360" t="s">
        <v>250</v>
      </c>
      <c r="E360">
        <v>6374.5912509999998</v>
      </c>
      <c r="G360">
        <v>6374.5912509999998</v>
      </c>
      <c r="H360">
        <v>1687449652.9567399</v>
      </c>
      <c r="I360">
        <v>1812170891.19069</v>
      </c>
      <c r="J360">
        <v>5.9148728787412532E-3</v>
      </c>
      <c r="K360">
        <v>670.75864289125104</v>
      </c>
      <c r="L360">
        <v>-1.7631871131437694E-2</v>
      </c>
      <c r="M360">
        <v>682.79764294042604</v>
      </c>
      <c r="N360">
        <v>5.9312763656244103</v>
      </c>
      <c r="O360">
        <v>47.395520173629102</v>
      </c>
      <c r="P360">
        <v>8.1522224335075801</v>
      </c>
      <c r="R360">
        <v>2515733</v>
      </c>
      <c r="S360">
        <v>2.3969368832534747E-2</v>
      </c>
      <c r="U360">
        <v>4.49</v>
      </c>
      <c r="V360">
        <v>8.6376187000000009</v>
      </c>
      <c r="W360">
        <v>5.2737470000000002</v>
      </c>
      <c r="X360">
        <v>70.162670000000006</v>
      </c>
      <c r="Y360">
        <v>34.217199999999998</v>
      </c>
      <c r="AJ360">
        <v>-0.39353498816490168</v>
      </c>
      <c r="AK360">
        <v>-0.75901603698730469</v>
      </c>
      <c r="AL360">
        <v>9.139775E-2</v>
      </c>
      <c r="AM360">
        <f>VLOOKUP(D360,[1]Sheet1!$C$1:$D$191,2,FALSE)</f>
        <v>45</v>
      </c>
    </row>
    <row r="361" spans="1:39" x14ac:dyDescent="0.35">
      <c r="A361">
        <v>2013</v>
      </c>
      <c r="B361" t="s">
        <v>49</v>
      </c>
      <c r="C361">
        <v>46</v>
      </c>
      <c r="D361" t="s">
        <v>251</v>
      </c>
      <c r="F361">
        <v>66406.350000000006</v>
      </c>
      <c r="G361">
        <v>66406.350000000006</v>
      </c>
      <c r="H361">
        <v>14151325572.1376</v>
      </c>
      <c r="I361">
        <v>17517660143.685902</v>
      </c>
      <c r="J361">
        <v>5.1328853120941063E-2</v>
      </c>
      <c r="K361">
        <v>3806.5060064905101</v>
      </c>
      <c r="L361">
        <v>5.4497826554839604E-2</v>
      </c>
      <c r="M361">
        <v>3609.780798626</v>
      </c>
      <c r="N361">
        <v>-0.51205841094709204</v>
      </c>
      <c r="O361">
        <v>93.813913789553197</v>
      </c>
      <c r="P361">
        <v>39.904593008472403</v>
      </c>
      <c r="Q361">
        <v>24.601894433386001</v>
      </c>
      <c r="R361">
        <v>3717668</v>
      </c>
      <c r="S361">
        <v>-3.0051967430382467E-3</v>
      </c>
      <c r="T361">
        <v>35.317</v>
      </c>
      <c r="U361">
        <v>5.95</v>
      </c>
      <c r="V361">
        <v>68.111846999999997</v>
      </c>
      <c r="W361">
        <v>9.1813040000000008</v>
      </c>
      <c r="X361">
        <v>87.869640000000004</v>
      </c>
      <c r="Y361">
        <v>43.3</v>
      </c>
      <c r="Z361">
        <v>40.587066395956597</v>
      </c>
      <c r="AA361">
        <v>2020</v>
      </c>
      <c r="AB361">
        <v>2021</v>
      </c>
      <c r="AC361">
        <v>0</v>
      </c>
      <c r="AD361">
        <v>0</v>
      </c>
      <c r="AE361">
        <v>1</v>
      </c>
      <c r="AF361">
        <v>1</v>
      </c>
      <c r="AJ361">
        <v>4.9099563620984554E-3</v>
      </c>
      <c r="AK361">
        <v>0.72580498456954956</v>
      </c>
      <c r="AL361">
        <v>0.16892137500000001</v>
      </c>
      <c r="AM361">
        <f>VLOOKUP(D361,[1]Sheet1!$C$1:$D$191,2,FALSE)</f>
        <v>46</v>
      </c>
    </row>
    <row r="362" spans="1:39" x14ac:dyDescent="0.35">
      <c r="A362">
        <v>2014</v>
      </c>
      <c r="B362" t="s">
        <v>49</v>
      </c>
      <c r="C362">
        <v>46</v>
      </c>
      <c r="D362" t="s">
        <v>251</v>
      </c>
      <c r="F362">
        <v>132853</v>
      </c>
      <c r="G362">
        <v>132853</v>
      </c>
      <c r="H362">
        <v>14730184213.8494</v>
      </c>
      <c r="I362">
        <v>17966015109.304298</v>
      </c>
      <c r="J362">
        <v>4.090490595817458E-2</v>
      </c>
      <c r="K362">
        <v>3960.35080091901</v>
      </c>
      <c r="L362">
        <v>4.0416275231453108E-2</v>
      </c>
      <c r="M362">
        <v>3806.5060064905101</v>
      </c>
      <c r="N362">
        <v>3.0688121037954299</v>
      </c>
      <c r="O362">
        <v>94.950697938339303</v>
      </c>
      <c r="P362">
        <v>44.948351077420703</v>
      </c>
      <c r="Q362">
        <v>26.237311644915199</v>
      </c>
      <c r="R362">
        <v>3719414</v>
      </c>
      <c r="S362">
        <v>4.6964925324154822E-4</v>
      </c>
      <c r="T362">
        <v>35.29</v>
      </c>
      <c r="U362">
        <v>5.82</v>
      </c>
      <c r="V362">
        <v>71.023948000000004</v>
      </c>
      <c r="W362">
        <v>8.3210230000000003</v>
      </c>
      <c r="X362">
        <v>87.053989999999999</v>
      </c>
      <c r="Y362">
        <v>49.102499999999999</v>
      </c>
      <c r="Z362">
        <v>46.329053787417301</v>
      </c>
      <c r="AA362">
        <v>2020</v>
      </c>
      <c r="AB362">
        <v>2021</v>
      </c>
      <c r="AC362">
        <v>0</v>
      </c>
      <c r="AD362">
        <v>0</v>
      </c>
      <c r="AE362">
        <v>1</v>
      </c>
      <c r="AF362">
        <v>1</v>
      </c>
      <c r="AJ362">
        <v>0.22474896907806399</v>
      </c>
      <c r="AK362">
        <v>0.76002752780914307</v>
      </c>
      <c r="AL362">
        <v>0.13379464999999999</v>
      </c>
      <c r="AM362">
        <f>VLOOKUP(D362,[1]Sheet1!$C$1:$D$191,2,FALSE)</f>
        <v>46</v>
      </c>
    </row>
    <row r="363" spans="1:39" x14ac:dyDescent="0.35">
      <c r="A363">
        <v>2015</v>
      </c>
      <c r="B363" t="s">
        <v>49</v>
      </c>
      <c r="C363">
        <v>46</v>
      </c>
      <c r="D363" t="s">
        <v>251</v>
      </c>
      <c r="E363">
        <v>43215.765649862937</v>
      </c>
      <c r="F363">
        <v>136117.89994199999</v>
      </c>
      <c r="G363">
        <v>179333.66559186293</v>
      </c>
      <c r="H363">
        <v>15223796148.8396</v>
      </c>
      <c r="I363">
        <v>15223796148.8396</v>
      </c>
      <c r="J363">
        <v>3.3510235026531672E-2</v>
      </c>
      <c r="K363">
        <v>4086.6223465964999</v>
      </c>
      <c r="L363">
        <v>3.1883929486294066E-2</v>
      </c>
      <c r="M363">
        <v>3960.35080091901</v>
      </c>
      <c r="N363">
        <v>4.0035782069509702</v>
      </c>
      <c r="O363">
        <v>97.016311508625705</v>
      </c>
      <c r="P363">
        <v>48.2300744379272</v>
      </c>
      <c r="Q363">
        <v>27.6875651267801</v>
      </c>
      <c r="R363">
        <v>3725276</v>
      </c>
      <c r="S363">
        <v>1.576054722598775E-3</v>
      </c>
      <c r="T363">
        <v>34.667000000000002</v>
      </c>
      <c r="U363">
        <v>5.88</v>
      </c>
      <c r="V363">
        <v>70.128899000000004</v>
      </c>
      <c r="W363">
        <v>7.4293500000000003</v>
      </c>
      <c r="X363">
        <v>72.284450000000007</v>
      </c>
      <c r="Y363">
        <v>47.569800000000001</v>
      </c>
      <c r="Z363">
        <v>51.9050659422441</v>
      </c>
      <c r="AA363">
        <v>2020</v>
      </c>
      <c r="AB363">
        <v>2021</v>
      </c>
      <c r="AC363">
        <v>0</v>
      </c>
      <c r="AD363">
        <v>0</v>
      </c>
      <c r="AE363">
        <v>1</v>
      </c>
      <c r="AF363">
        <v>1</v>
      </c>
      <c r="AJ363">
        <v>0.22280541062355039</v>
      </c>
      <c r="AK363">
        <v>0.75086629390716553</v>
      </c>
      <c r="AL363">
        <v>0.12244477500000001</v>
      </c>
      <c r="AM363">
        <f>VLOOKUP(D363,[1]Sheet1!$C$1:$D$191,2,FALSE)</f>
        <v>46</v>
      </c>
    </row>
    <row r="364" spans="1:39" x14ac:dyDescent="0.35">
      <c r="A364">
        <v>2016</v>
      </c>
      <c r="B364" t="s">
        <v>49</v>
      </c>
      <c r="C364">
        <v>46</v>
      </c>
      <c r="D364" t="s">
        <v>251</v>
      </c>
      <c r="E364">
        <v>64125.129566914278</v>
      </c>
      <c r="F364">
        <v>113459744.1510423</v>
      </c>
      <c r="G364">
        <v>113523869.28060919</v>
      </c>
      <c r="H364">
        <v>15749049874.534401</v>
      </c>
      <c r="I364">
        <v>15444548901.963699</v>
      </c>
      <c r="J364">
        <v>3.4502151799690094E-2</v>
      </c>
      <c r="K364">
        <v>4225.0915490480602</v>
      </c>
      <c r="L364">
        <v>3.388353283167525E-2</v>
      </c>
      <c r="M364">
        <v>4086.6223465964999</v>
      </c>
      <c r="N364">
        <v>2.1349271393912099</v>
      </c>
      <c r="O364">
        <v>94.926252838344297</v>
      </c>
      <c r="P364">
        <v>53.993494517615197</v>
      </c>
      <c r="Q364">
        <v>28.674800973928299</v>
      </c>
      <c r="R364">
        <v>3727505</v>
      </c>
      <c r="S364">
        <v>5.9834492799996561E-4</v>
      </c>
      <c r="T364">
        <v>34.905000000000001</v>
      </c>
      <c r="U364">
        <v>5.93</v>
      </c>
      <c r="V364">
        <v>74.420088000000007</v>
      </c>
      <c r="W364">
        <v>6.5724539999999996</v>
      </c>
      <c r="X364">
        <v>79.303120000000007</v>
      </c>
      <c r="Y364">
        <v>58.459299999999999</v>
      </c>
      <c r="Z364">
        <v>58.198808003405702</v>
      </c>
      <c r="AA364">
        <v>2020</v>
      </c>
      <c r="AB364">
        <v>2021</v>
      </c>
      <c r="AC364">
        <v>0</v>
      </c>
      <c r="AD364">
        <v>0</v>
      </c>
      <c r="AE364">
        <v>1</v>
      </c>
      <c r="AF364">
        <v>1</v>
      </c>
      <c r="AJ364">
        <v>0.33577191829681402</v>
      </c>
      <c r="AK364">
        <v>0.86148971319198608</v>
      </c>
      <c r="AL364">
        <v>0.26003737500000002</v>
      </c>
      <c r="AM364">
        <f>VLOOKUP(D364,[1]Sheet1!$C$1:$D$191,2,FALSE)</f>
        <v>46</v>
      </c>
    </row>
    <row r="365" spans="1:39" x14ac:dyDescent="0.35">
      <c r="A365">
        <v>2017</v>
      </c>
      <c r="B365" t="s">
        <v>49</v>
      </c>
      <c r="C365">
        <v>46</v>
      </c>
      <c r="D365" t="s">
        <v>251</v>
      </c>
      <c r="E365">
        <v>9831.0294888807621</v>
      </c>
      <c r="F365">
        <v>195774458.9240512</v>
      </c>
      <c r="G365">
        <v>195784289.95354009</v>
      </c>
      <c r="H365">
        <v>16561685511.098301</v>
      </c>
      <c r="I365">
        <v>16473125375.068399</v>
      </c>
      <c r="J365">
        <v>5.1599026165883195E-2</v>
      </c>
      <c r="K365">
        <v>4442.5074412737404</v>
      </c>
      <c r="L365">
        <v>5.1458267756272727E-2</v>
      </c>
      <c r="M365">
        <v>4225.0915490480602</v>
      </c>
      <c r="N365">
        <v>6.0353172527211703</v>
      </c>
      <c r="O365">
        <v>102.58427769714601</v>
      </c>
      <c r="P365">
        <v>55.068544513790499</v>
      </c>
      <c r="Q365">
        <v>26.862119013062401</v>
      </c>
      <c r="R365">
        <v>3728004</v>
      </c>
      <c r="S365">
        <v>1.3386970641219797E-4</v>
      </c>
      <c r="T365">
        <v>40.466999999999999</v>
      </c>
      <c r="U365">
        <v>5.93</v>
      </c>
      <c r="V365">
        <v>76.034397999999996</v>
      </c>
      <c r="W365">
        <v>8.3335109999999997</v>
      </c>
      <c r="X365">
        <v>80.823239999999998</v>
      </c>
      <c r="Y365">
        <v>59.705500000000001</v>
      </c>
      <c r="Z365">
        <v>63.535040959252001</v>
      </c>
      <c r="AA365">
        <v>2020</v>
      </c>
      <c r="AB365">
        <v>2021</v>
      </c>
      <c r="AC365">
        <v>0</v>
      </c>
      <c r="AD365">
        <v>0</v>
      </c>
      <c r="AE365">
        <v>1</v>
      </c>
      <c r="AF365">
        <v>1</v>
      </c>
      <c r="AJ365">
        <v>0.26274272799491882</v>
      </c>
      <c r="AK365">
        <v>0.94906020164489746</v>
      </c>
      <c r="AL365">
        <v>7.8242025000000007E-2</v>
      </c>
      <c r="AM365">
        <f>VLOOKUP(D365,[1]Sheet1!$C$1:$D$191,2,FALSE)</f>
        <v>46</v>
      </c>
    </row>
    <row r="366" spans="1:39" x14ac:dyDescent="0.35">
      <c r="A366">
        <v>2018</v>
      </c>
      <c r="B366" t="s">
        <v>49</v>
      </c>
      <c r="C366">
        <v>46</v>
      </c>
      <c r="D366" t="s">
        <v>251</v>
      </c>
      <c r="E366">
        <v>44354.26</v>
      </c>
      <c r="F366">
        <v>192972645.32519999</v>
      </c>
      <c r="G366">
        <v>193016999.58520001</v>
      </c>
      <c r="H366">
        <v>17565660917.334099</v>
      </c>
      <c r="I366">
        <v>17902544880.647099</v>
      </c>
      <c r="J366">
        <v>6.0620364126768064E-2</v>
      </c>
      <c r="K366">
        <v>4713.6535484530305</v>
      </c>
      <c r="L366">
        <v>6.1034474508735545E-2</v>
      </c>
      <c r="M366">
        <v>4442.5074412737404</v>
      </c>
      <c r="N366">
        <v>2.6152447139767001</v>
      </c>
      <c r="O366">
        <v>109.847740556266</v>
      </c>
      <c r="P366">
        <v>59.510733538684903</v>
      </c>
      <c r="Q366">
        <v>23.7175474941597</v>
      </c>
      <c r="R366">
        <v>3726549</v>
      </c>
      <c r="S366">
        <v>-3.9028928080549267E-4</v>
      </c>
      <c r="T366">
        <v>36.25</v>
      </c>
      <c r="U366">
        <v>5.5</v>
      </c>
      <c r="V366">
        <v>77.621307999999999</v>
      </c>
      <c r="W366">
        <v>6.7635439999999996</v>
      </c>
      <c r="X366">
        <v>84.172669999999997</v>
      </c>
      <c r="Y366">
        <v>62.7179</v>
      </c>
      <c r="Z366">
        <v>66.747813990460998</v>
      </c>
      <c r="AA366">
        <v>2020</v>
      </c>
      <c r="AB366">
        <v>2021</v>
      </c>
      <c r="AC366">
        <v>0</v>
      </c>
      <c r="AD366">
        <v>0</v>
      </c>
      <c r="AE366">
        <v>1</v>
      </c>
      <c r="AF366">
        <v>1</v>
      </c>
      <c r="AJ366">
        <v>0.27051076292991638</v>
      </c>
      <c r="AK366">
        <v>1.031990647315979</v>
      </c>
      <c r="AL366">
        <v>2.7730225000000001E-2</v>
      </c>
      <c r="AM366">
        <f>VLOOKUP(D366,[1]Sheet1!$C$1:$D$191,2,FALSE)</f>
        <v>46</v>
      </c>
    </row>
    <row r="367" spans="1:39" x14ac:dyDescent="0.35">
      <c r="A367">
        <v>2019</v>
      </c>
      <c r="B367" t="s">
        <v>49</v>
      </c>
      <c r="C367">
        <v>46</v>
      </c>
      <c r="D367" t="s">
        <v>251</v>
      </c>
      <c r="F367">
        <v>57712130.833609886</v>
      </c>
      <c r="G367">
        <v>57712130.833609886</v>
      </c>
      <c r="H367">
        <v>18510819818.495701</v>
      </c>
      <c r="I367">
        <v>17638337116.912601</v>
      </c>
      <c r="J367">
        <v>5.3807192658996555E-2</v>
      </c>
      <c r="K367">
        <v>4975.8114819481398</v>
      </c>
      <c r="L367">
        <v>5.5616716587316158E-2</v>
      </c>
      <c r="M367">
        <v>4713.6535484530305</v>
      </c>
      <c r="N367">
        <v>4.8528982169672297</v>
      </c>
      <c r="O367">
        <v>117.810080239714</v>
      </c>
      <c r="P367">
        <v>65.015365360622397</v>
      </c>
      <c r="Q367">
        <v>24.363512046012101</v>
      </c>
      <c r="R367">
        <v>3720161</v>
      </c>
      <c r="S367">
        <v>-1.7141865033842303E-3</v>
      </c>
      <c r="T367">
        <v>35.256999999999998</v>
      </c>
      <c r="U367">
        <v>5.42</v>
      </c>
      <c r="V367">
        <v>85.076774</v>
      </c>
      <c r="W367">
        <v>5.9155800000000003</v>
      </c>
      <c r="X367">
        <v>82.756690000000006</v>
      </c>
      <c r="Y367">
        <v>68.846699999999998</v>
      </c>
      <c r="Z367">
        <v>69.646393471312606</v>
      </c>
      <c r="AA367">
        <v>2020</v>
      </c>
      <c r="AB367">
        <v>2021</v>
      </c>
      <c r="AC367">
        <v>0</v>
      </c>
      <c r="AD367">
        <v>0</v>
      </c>
      <c r="AE367">
        <v>1</v>
      </c>
      <c r="AF367">
        <v>1</v>
      </c>
      <c r="AJ367">
        <v>0.2486915439367294</v>
      </c>
      <c r="AK367">
        <v>1.0265241861343379</v>
      </c>
      <c r="AL367">
        <v>6.21419E-2</v>
      </c>
      <c r="AM367">
        <f>VLOOKUP(D367,[1]Sheet1!$C$1:$D$191,2,FALSE)</f>
        <v>46</v>
      </c>
    </row>
    <row r="368" spans="1:39" x14ac:dyDescent="0.35">
      <c r="A368">
        <v>2020</v>
      </c>
      <c r="B368" t="s">
        <v>49</v>
      </c>
      <c r="C368">
        <v>46</v>
      </c>
      <c r="D368" t="s">
        <v>251</v>
      </c>
      <c r="E368">
        <v>4011.45</v>
      </c>
      <c r="F368">
        <v>17909867.11377972</v>
      </c>
      <c r="G368">
        <v>17913878.563779719</v>
      </c>
      <c r="H368">
        <v>17346401920.57</v>
      </c>
      <c r="I368">
        <v>16010869215.68</v>
      </c>
      <c r="J368">
        <v>-6.2904717853837805E-2</v>
      </c>
      <c r="K368">
        <v>4659.6092531823397</v>
      </c>
      <c r="L368">
        <v>-6.3547871520646906E-2</v>
      </c>
      <c r="M368">
        <v>4975.8114819481398</v>
      </c>
      <c r="N368">
        <v>5.2024648897533998</v>
      </c>
      <c r="O368">
        <v>92.891084175219405</v>
      </c>
      <c r="P368">
        <v>79.038311381937604</v>
      </c>
      <c r="Q368">
        <v>29.0090180561971</v>
      </c>
      <c r="R368">
        <v>3722716</v>
      </c>
      <c r="S368">
        <v>6.8679823265713495E-4</v>
      </c>
      <c r="T368">
        <v>34.825000000000003</v>
      </c>
      <c r="U368">
        <v>5.31</v>
      </c>
      <c r="V368">
        <v>90.887184000000005</v>
      </c>
      <c r="W368">
        <v>4.6801599999999999</v>
      </c>
      <c r="X368">
        <v>82.913960000000003</v>
      </c>
      <c r="Y368">
        <v>72.531599999999997</v>
      </c>
      <c r="Z368">
        <v>71.806453129039099</v>
      </c>
      <c r="AA368">
        <v>2020</v>
      </c>
      <c r="AB368">
        <v>2021</v>
      </c>
      <c r="AC368">
        <v>1</v>
      </c>
      <c r="AD368">
        <v>0</v>
      </c>
      <c r="AE368">
        <v>1</v>
      </c>
      <c r="AF368">
        <v>1</v>
      </c>
      <c r="AG368">
        <v>0</v>
      </c>
      <c r="AI368">
        <v>1</v>
      </c>
      <c r="AJ368">
        <v>0.22287812829017639</v>
      </c>
      <c r="AK368">
        <v>1.0011676549911499</v>
      </c>
      <c r="AL368">
        <v>9.0193599999999999E-2</v>
      </c>
      <c r="AM368">
        <f>VLOOKUP(D368,[1]Sheet1!$C$1:$D$191,2,FALSE)</f>
        <v>46</v>
      </c>
    </row>
    <row r="369" spans="1:39" x14ac:dyDescent="0.35">
      <c r="A369">
        <v>2013</v>
      </c>
      <c r="B369" t="s">
        <v>50</v>
      </c>
      <c r="C369">
        <v>47</v>
      </c>
      <c r="D369" t="s">
        <v>252</v>
      </c>
      <c r="E369">
        <v>1079907.8965428879</v>
      </c>
      <c r="F369">
        <v>2169350</v>
      </c>
      <c r="G369">
        <v>3249257.8965428881</v>
      </c>
      <c r="H369">
        <v>47036511237.556297</v>
      </c>
      <c r="I369">
        <v>62824629066.040802</v>
      </c>
      <c r="J369">
        <v>7.3125250167813155E-2</v>
      </c>
      <c r="K369">
        <v>1717.52646443251</v>
      </c>
      <c r="L369">
        <v>4.7579633852485342E-2</v>
      </c>
      <c r="M369">
        <v>1639.5187620403501</v>
      </c>
      <c r="N369">
        <v>11.666192307172899</v>
      </c>
      <c r="O369">
        <v>60.759321902877502</v>
      </c>
      <c r="P369">
        <v>15.2923716479322</v>
      </c>
      <c r="Q369">
        <v>19.281134781880301</v>
      </c>
      <c r="R369">
        <v>27386193</v>
      </c>
      <c r="S369">
        <v>2.4385369369380152E-2</v>
      </c>
      <c r="T369">
        <v>75.772000000000006</v>
      </c>
      <c r="U369">
        <v>6.33</v>
      </c>
      <c r="V369">
        <v>7.9391581000000002</v>
      </c>
      <c r="W369">
        <v>11.75731</v>
      </c>
      <c r="X369">
        <v>35.780900000000003</v>
      </c>
      <c r="Y369">
        <v>15</v>
      </c>
      <c r="Z369">
        <v>13.4205396326832</v>
      </c>
      <c r="AF369">
        <v>0</v>
      </c>
      <c r="AJ369">
        <v>0.1541232913732529</v>
      </c>
      <c r="AK369">
        <v>6.1810780316591263E-2</v>
      </c>
      <c r="AL369">
        <v>0.112884125</v>
      </c>
      <c r="AM369">
        <f>VLOOKUP(D369,[1]Sheet1!$C$1:$D$191,2,FALSE)</f>
        <v>47</v>
      </c>
    </row>
    <row r="370" spans="1:39" x14ac:dyDescent="0.35">
      <c r="A370">
        <v>2014</v>
      </c>
      <c r="B370" t="s">
        <v>50</v>
      </c>
      <c r="C370">
        <v>47</v>
      </c>
      <c r="D370" t="s">
        <v>252</v>
      </c>
      <c r="E370">
        <v>599173.72505216463</v>
      </c>
      <c r="F370">
        <v>2101200</v>
      </c>
      <c r="G370">
        <v>2700373.7250521649</v>
      </c>
      <c r="H370">
        <v>48379986962.942703</v>
      </c>
      <c r="I370">
        <v>54783319817.370499</v>
      </c>
      <c r="J370">
        <v>2.8562401633089401E-2</v>
      </c>
      <c r="K370">
        <v>1725.2938764297901</v>
      </c>
      <c r="L370">
        <v>4.5224409394160449E-3</v>
      </c>
      <c r="M370">
        <v>1717.52646443251</v>
      </c>
      <c r="N370">
        <v>15.489616033331799</v>
      </c>
      <c r="O370">
        <v>63.8365624430783</v>
      </c>
      <c r="P370">
        <v>16.504890626902601</v>
      </c>
      <c r="Q370">
        <v>18.203508607632902</v>
      </c>
      <c r="R370">
        <v>28041592</v>
      </c>
      <c r="S370">
        <v>2.3931730854303116E-2</v>
      </c>
      <c r="U370">
        <v>6.33</v>
      </c>
      <c r="V370">
        <v>7.9812830000000003</v>
      </c>
      <c r="W370">
        <v>10.162559999999999</v>
      </c>
      <c r="X370">
        <v>32.520710000000001</v>
      </c>
      <c r="Y370">
        <v>19</v>
      </c>
      <c r="Z370">
        <v>15.0809451652103</v>
      </c>
      <c r="AF370">
        <v>0</v>
      </c>
      <c r="AJ370">
        <v>6.340239942073822E-2</v>
      </c>
      <c r="AK370">
        <v>-4.7670736908912659E-2</v>
      </c>
      <c r="AL370">
        <v>8.8594474999999992E-2</v>
      </c>
      <c r="AM370">
        <f>VLOOKUP(D370,[1]Sheet1!$C$1:$D$191,2,FALSE)</f>
        <v>47</v>
      </c>
    </row>
    <row r="371" spans="1:39" x14ac:dyDescent="0.35">
      <c r="A371">
        <v>2015</v>
      </c>
      <c r="B371" t="s">
        <v>50</v>
      </c>
      <c r="C371">
        <v>47</v>
      </c>
      <c r="D371" t="s">
        <v>252</v>
      </c>
      <c r="E371">
        <v>1947772.3160453681</v>
      </c>
      <c r="F371">
        <v>3217775</v>
      </c>
      <c r="G371">
        <v>5165547.3160453681</v>
      </c>
      <c r="H371">
        <v>49406010054.266296</v>
      </c>
      <c r="I371">
        <v>49406010054.266296</v>
      </c>
      <c r="J371">
        <v>2.1207593381732188E-2</v>
      </c>
      <c r="K371">
        <v>1721.6996438071701</v>
      </c>
      <c r="L371">
        <v>-2.0832582041371717E-3</v>
      </c>
      <c r="M371">
        <v>1725.2938764297901</v>
      </c>
      <c r="N371">
        <v>17.149969500787801</v>
      </c>
      <c r="O371">
        <v>76.521270924324199</v>
      </c>
      <c r="P371">
        <v>17.933567047218599</v>
      </c>
      <c r="Q371">
        <v>17.364299645873501</v>
      </c>
      <c r="R371">
        <v>28696068</v>
      </c>
      <c r="S371">
        <v>2.3339473736013278E-2</v>
      </c>
      <c r="T371">
        <v>70.128</v>
      </c>
      <c r="U371">
        <v>6.86</v>
      </c>
      <c r="V371">
        <v>9.9923813999999993</v>
      </c>
      <c r="W371">
        <v>11.38452</v>
      </c>
      <c r="X371">
        <v>29.311250000000001</v>
      </c>
      <c r="Y371">
        <v>23</v>
      </c>
      <c r="Z371">
        <v>15.5618871637579</v>
      </c>
      <c r="AF371">
        <v>0</v>
      </c>
      <c r="AJ371">
        <v>0.1230916380882263</v>
      </c>
      <c r="AK371">
        <v>-0.1075582355260849</v>
      </c>
      <c r="AL371">
        <v>5.8931999999999998E-2</v>
      </c>
      <c r="AM371">
        <f>VLOOKUP(D371,[1]Sheet1!$C$1:$D$191,2,FALSE)</f>
        <v>47</v>
      </c>
    </row>
    <row r="372" spans="1:39" x14ac:dyDescent="0.35">
      <c r="A372">
        <v>2016</v>
      </c>
      <c r="B372" t="s">
        <v>50</v>
      </c>
      <c r="C372">
        <v>47</v>
      </c>
      <c r="D372" t="s">
        <v>252</v>
      </c>
      <c r="E372">
        <v>657435.22509566788</v>
      </c>
      <c r="F372">
        <v>1426500</v>
      </c>
      <c r="G372">
        <v>2083935.2250956679</v>
      </c>
      <c r="H372">
        <v>51072704881.725197</v>
      </c>
      <c r="I372">
        <v>56164929304.875397</v>
      </c>
      <c r="J372">
        <v>3.3734657496694138E-2</v>
      </c>
      <c r="K372">
        <v>1739.7265977854499</v>
      </c>
      <c r="L372">
        <v>1.0470440673622424E-2</v>
      </c>
      <c r="M372">
        <v>1721.6996438071701</v>
      </c>
      <c r="N372">
        <v>17.4546347070868</v>
      </c>
      <c r="O372">
        <v>67.876999444586502</v>
      </c>
      <c r="P372">
        <v>17.435638656041299</v>
      </c>
      <c r="Q372">
        <v>18.289585362215099</v>
      </c>
      <c r="R372">
        <v>29356742</v>
      </c>
      <c r="S372">
        <v>2.3023154252352622E-2</v>
      </c>
      <c r="U372">
        <v>6.75</v>
      </c>
      <c r="V372">
        <v>10.922064000000001</v>
      </c>
      <c r="W372">
        <v>11.53712</v>
      </c>
      <c r="X372">
        <v>29.10951</v>
      </c>
      <c r="Y372">
        <v>28</v>
      </c>
      <c r="Z372">
        <v>15.606270735822999</v>
      </c>
      <c r="AF372">
        <v>0</v>
      </c>
      <c r="AJ372">
        <v>3.3230070024728782E-2</v>
      </c>
      <c r="AK372">
        <v>-0.29960787296295172</v>
      </c>
      <c r="AL372">
        <v>0.131269525</v>
      </c>
      <c r="AM372">
        <f>VLOOKUP(D372,[1]Sheet1!$C$1:$D$191,2,FALSE)</f>
        <v>47</v>
      </c>
    </row>
    <row r="373" spans="1:39" x14ac:dyDescent="0.35">
      <c r="A373">
        <v>2017</v>
      </c>
      <c r="B373" t="s">
        <v>50</v>
      </c>
      <c r="C373">
        <v>47</v>
      </c>
      <c r="D373" t="s">
        <v>252</v>
      </c>
      <c r="E373">
        <v>366903.84246499999</v>
      </c>
      <c r="F373">
        <v>1799225</v>
      </c>
      <c r="G373">
        <v>2166128.8424650002</v>
      </c>
      <c r="H373">
        <v>55224351374.448898</v>
      </c>
      <c r="I373">
        <v>60405924078.727798</v>
      </c>
      <c r="J373">
        <v>8.1288948810096032E-2</v>
      </c>
      <c r="K373">
        <v>1840.29925048368</v>
      </c>
      <c r="L373">
        <v>5.7809458581740372E-2</v>
      </c>
      <c r="M373">
        <v>1739.7265977854499</v>
      </c>
      <c r="N373">
        <v>12.371921550704799</v>
      </c>
      <c r="O373">
        <v>70.548365290411596</v>
      </c>
      <c r="P373">
        <v>16.0995201444141</v>
      </c>
      <c r="Q373">
        <v>17.355240305186999</v>
      </c>
      <c r="R373">
        <v>30008354</v>
      </c>
      <c r="S373">
        <v>2.219633227692637E-2</v>
      </c>
      <c r="T373">
        <v>76.033000000000001</v>
      </c>
      <c r="U373">
        <v>6.69</v>
      </c>
      <c r="V373">
        <v>11.288005</v>
      </c>
      <c r="W373">
        <v>10.73302</v>
      </c>
      <c r="X373">
        <v>34.717399999999998</v>
      </c>
      <c r="Y373">
        <v>37.8842</v>
      </c>
      <c r="Z373">
        <v>16.206569424606201</v>
      </c>
      <c r="AF373">
        <v>0</v>
      </c>
      <c r="AJ373">
        <v>0.105520524084568</v>
      </c>
      <c r="AK373">
        <v>-0.18869119882583621</v>
      </c>
      <c r="AL373">
        <v>0.133560175</v>
      </c>
      <c r="AM373">
        <f>VLOOKUP(D373,[1]Sheet1!$C$1:$D$191,2,FALSE)</f>
        <v>47</v>
      </c>
    </row>
    <row r="374" spans="1:39" x14ac:dyDescent="0.35">
      <c r="A374">
        <v>2018</v>
      </c>
      <c r="B374" t="s">
        <v>50</v>
      </c>
      <c r="C374">
        <v>47</v>
      </c>
      <c r="D374" t="s">
        <v>252</v>
      </c>
      <c r="E374">
        <v>279836.67091599997</v>
      </c>
      <c r="F374">
        <v>4910390</v>
      </c>
      <c r="G374">
        <v>5190226.6709160004</v>
      </c>
      <c r="H374">
        <v>58648304058.643799</v>
      </c>
      <c r="I374">
        <v>67298914624.372299</v>
      </c>
      <c r="J374">
        <v>6.2000776812728461E-2</v>
      </c>
      <c r="K374">
        <v>1914.2600194709801</v>
      </c>
      <c r="L374">
        <v>4.0189533831446814E-2</v>
      </c>
      <c r="M374">
        <v>1840.29925048368</v>
      </c>
      <c r="N374">
        <v>7.8087651661070296</v>
      </c>
      <c r="O374">
        <v>67.9585174644902</v>
      </c>
      <c r="P374">
        <v>13.714143219220301</v>
      </c>
      <c r="Q374">
        <v>17.601847515248402</v>
      </c>
      <c r="R374">
        <v>30637585</v>
      </c>
      <c r="S374">
        <v>2.0968527630672446E-2</v>
      </c>
      <c r="U374">
        <v>6.63</v>
      </c>
      <c r="V374">
        <v>11.514951999999999</v>
      </c>
      <c r="W374">
        <v>10.154999999999999</v>
      </c>
      <c r="X374">
        <v>32.394730000000003</v>
      </c>
      <c r="Y374">
        <v>43</v>
      </c>
      <c r="Z374">
        <v>15.9045597520982</v>
      </c>
      <c r="AF374">
        <v>0</v>
      </c>
      <c r="AJ374">
        <v>5.1087148487567902E-2</v>
      </c>
      <c r="AK374">
        <v>-0.14193639159202581</v>
      </c>
      <c r="AL374">
        <v>6.8516875000000005E-2</v>
      </c>
      <c r="AM374">
        <f>VLOOKUP(D374,[1]Sheet1!$C$1:$D$191,2,FALSE)</f>
        <v>47</v>
      </c>
    </row>
    <row r="375" spans="1:39" x14ac:dyDescent="0.35">
      <c r="A375">
        <v>2019</v>
      </c>
      <c r="B375" t="s">
        <v>50</v>
      </c>
      <c r="C375">
        <v>47</v>
      </c>
      <c r="D375" t="s">
        <v>252</v>
      </c>
      <c r="E375">
        <v>25185.549475380001</v>
      </c>
      <c r="F375">
        <v>585438344.73000002</v>
      </c>
      <c r="G375">
        <v>585463530.27947533</v>
      </c>
      <c r="H375">
        <v>62465003607.231003</v>
      </c>
      <c r="I375">
        <v>68337969247.706703</v>
      </c>
      <c r="J375">
        <v>6.5077747939152636E-2</v>
      </c>
      <c r="K375">
        <v>1998.3081197152001</v>
      </c>
      <c r="L375">
        <v>4.3906313347884321E-2</v>
      </c>
      <c r="M375">
        <v>1914.2600194709801</v>
      </c>
      <c r="N375">
        <v>7.1436400333085697</v>
      </c>
      <c r="O375">
        <v>76.824802732151994</v>
      </c>
      <c r="P375">
        <v>13.937211385640101</v>
      </c>
      <c r="Q375">
        <v>17.510945094103299</v>
      </c>
      <c r="R375">
        <v>31258945</v>
      </c>
      <c r="S375">
        <v>2.0280971884696526E-2</v>
      </c>
      <c r="U375">
        <v>6.63</v>
      </c>
      <c r="V375">
        <v>11.143033000000001</v>
      </c>
      <c r="W375">
        <v>9.4088530000000006</v>
      </c>
      <c r="X375">
        <v>31.697399999999998</v>
      </c>
      <c r="Y375">
        <v>22.0732</v>
      </c>
      <c r="Z375">
        <v>17.3607250095097</v>
      </c>
      <c r="AF375">
        <v>0</v>
      </c>
      <c r="AJ375">
        <v>1.2740803882479669E-2</v>
      </c>
      <c r="AK375">
        <v>-0.18546295166015619</v>
      </c>
      <c r="AL375">
        <v>6.2325274999999999E-2</v>
      </c>
      <c r="AM375">
        <f>VLOOKUP(D375,[1]Sheet1!$C$1:$D$191,2,FALSE)</f>
        <v>47</v>
      </c>
    </row>
    <row r="376" spans="1:39" x14ac:dyDescent="0.35">
      <c r="A376">
        <v>2020</v>
      </c>
      <c r="B376" t="s">
        <v>50</v>
      </c>
      <c r="C376">
        <v>47</v>
      </c>
      <c r="D376" t="s">
        <v>252</v>
      </c>
      <c r="E376">
        <v>634292.18761937995</v>
      </c>
      <c r="F376">
        <v>527886857.48973292</v>
      </c>
      <c r="G376">
        <v>528521149.67735231</v>
      </c>
      <c r="H376">
        <v>62786037290.327904</v>
      </c>
      <c r="I376">
        <v>70043099675.679993</v>
      </c>
      <c r="J376">
        <v>5.13941670628092E-3</v>
      </c>
      <c r="K376">
        <v>1968.96680139824</v>
      </c>
      <c r="L376">
        <v>-1.4683080165406015E-2</v>
      </c>
      <c r="M376">
        <v>1998.3081197152001</v>
      </c>
      <c r="N376">
        <v>9.8872895626994399</v>
      </c>
      <c r="O376">
        <v>66.575498716243104</v>
      </c>
      <c r="P376">
        <v>13.058528858537001</v>
      </c>
      <c r="Q376">
        <v>21.8835544057028</v>
      </c>
      <c r="R376">
        <v>31887809</v>
      </c>
      <c r="S376">
        <v>2.0117889455322308E-2</v>
      </c>
      <c r="U376">
        <v>6.5</v>
      </c>
      <c r="V376">
        <v>11.451124</v>
      </c>
      <c r="W376">
        <v>9.7423040000000007</v>
      </c>
      <c r="X376">
        <v>32.700409999999998</v>
      </c>
      <c r="Y376">
        <v>62.517600000000002</v>
      </c>
      <c r="Z376">
        <v>18.613993859415501</v>
      </c>
      <c r="AF376">
        <v>0</v>
      </c>
      <c r="AJ376">
        <v>-8.2128517329692841E-2</v>
      </c>
      <c r="AK376">
        <v>-0.13057971000671389</v>
      </c>
      <c r="AL376">
        <v>9.2746599999999998E-2</v>
      </c>
      <c r="AM376">
        <f>VLOOKUP(D376,[1]Sheet1!$C$1:$D$191,2,FALSE)</f>
        <v>47</v>
      </c>
    </row>
    <row r="377" spans="1:39" x14ac:dyDescent="0.35">
      <c r="A377">
        <v>2013</v>
      </c>
      <c r="B377" t="s">
        <v>51</v>
      </c>
      <c r="C377">
        <v>48</v>
      </c>
      <c r="D377" t="s">
        <v>253</v>
      </c>
      <c r="E377">
        <v>63223</v>
      </c>
      <c r="G377">
        <v>63223</v>
      </c>
      <c r="H377">
        <v>57199417471.409897</v>
      </c>
      <c r="I377">
        <v>52996446269.442001</v>
      </c>
      <c r="J377">
        <v>3.6948191988175297E-2</v>
      </c>
      <c r="K377">
        <v>3717.30452588449</v>
      </c>
      <c r="L377">
        <v>1.6886948949632639E-2</v>
      </c>
      <c r="M377">
        <v>3655.5730504007201</v>
      </c>
      <c r="N377">
        <v>4.3433713127952096</v>
      </c>
      <c r="O377">
        <v>56.685220752447201</v>
      </c>
      <c r="P377">
        <v>33.1309422206307</v>
      </c>
      <c r="Q377">
        <v>13.0330962185914</v>
      </c>
      <c r="R377">
        <v>15387337</v>
      </c>
      <c r="S377">
        <v>1.9728095693689853E-2</v>
      </c>
      <c r="T377">
        <v>58.703000000000003</v>
      </c>
      <c r="U377">
        <v>5.81</v>
      </c>
      <c r="V377">
        <v>33.167865999999997</v>
      </c>
      <c r="W377">
        <v>6.7232890000000003</v>
      </c>
      <c r="X377">
        <v>66.994579999999999</v>
      </c>
      <c r="Y377">
        <v>19.7</v>
      </c>
      <c r="Z377">
        <v>19.573703072087898</v>
      </c>
      <c r="AJ377">
        <v>-1.094258666038513</v>
      </c>
      <c r="AK377">
        <v>-0.28711271286010742</v>
      </c>
      <c r="AL377">
        <v>4.9473575000000013E-2</v>
      </c>
      <c r="AM377">
        <f>VLOOKUP(D377,[1]Sheet1!$C$1:$D$191,2,FALSE)</f>
        <v>48</v>
      </c>
    </row>
    <row r="378" spans="1:39" x14ac:dyDescent="0.35">
      <c r="A378">
        <v>2014</v>
      </c>
      <c r="B378" t="s">
        <v>51</v>
      </c>
      <c r="C378">
        <v>48</v>
      </c>
      <c r="D378" t="s">
        <v>253</v>
      </c>
      <c r="E378">
        <v>27863</v>
      </c>
      <c r="G378">
        <v>27863</v>
      </c>
      <c r="H378">
        <v>59741346761.361702</v>
      </c>
      <c r="I378">
        <v>57852153058.501999</v>
      </c>
      <c r="J378">
        <v>4.4439775828527324E-2</v>
      </c>
      <c r="K378">
        <v>3809.61576365876</v>
      </c>
      <c r="L378">
        <v>2.4832842488820745E-2</v>
      </c>
      <c r="M378">
        <v>3717.30452588449</v>
      </c>
      <c r="N378">
        <v>3.4183616966296002</v>
      </c>
      <c r="O378">
        <v>55.083279281257198</v>
      </c>
      <c r="P378">
        <v>33.496152063874199</v>
      </c>
      <c r="Q378">
        <v>13.283611032795299</v>
      </c>
      <c r="R378">
        <v>15681725</v>
      </c>
      <c r="S378">
        <v>1.9131835482643942E-2</v>
      </c>
      <c r="T378">
        <v>60.795999999999999</v>
      </c>
      <c r="U378">
        <v>5.81</v>
      </c>
      <c r="V378">
        <v>35.257562999999998</v>
      </c>
      <c r="W378">
        <v>6.4147189999999998</v>
      </c>
      <c r="X378">
        <v>66.606459999999998</v>
      </c>
      <c r="Y378">
        <v>23.4</v>
      </c>
      <c r="Z378">
        <v>18.255292159465</v>
      </c>
      <c r="AJ378">
        <v>-0.95632386207580566</v>
      </c>
      <c r="AK378">
        <v>-0.28429007530212402</v>
      </c>
      <c r="AL378">
        <v>7.5064599999999981E-2</v>
      </c>
      <c r="AM378">
        <f>VLOOKUP(D378,[1]Sheet1!$C$1:$D$191,2,FALSE)</f>
        <v>48</v>
      </c>
    </row>
    <row r="379" spans="1:39" x14ac:dyDescent="0.35">
      <c r="A379">
        <v>2015</v>
      </c>
      <c r="B379" t="s">
        <v>51</v>
      </c>
      <c r="C379">
        <v>48</v>
      </c>
      <c r="D379" t="s">
        <v>253</v>
      </c>
      <c r="E379">
        <v>43739</v>
      </c>
      <c r="G379">
        <v>43739</v>
      </c>
      <c r="H379">
        <v>62186064718.742401</v>
      </c>
      <c r="I379">
        <v>62186064718.742401</v>
      </c>
      <c r="J379">
        <v>4.0921708162124065E-2</v>
      </c>
      <c r="K379">
        <v>3893.5052184813098</v>
      </c>
      <c r="L379">
        <v>2.2020450362159966E-2</v>
      </c>
      <c r="M379">
        <v>3809.61576365876</v>
      </c>
      <c r="N379">
        <v>2.3887203283954999</v>
      </c>
      <c r="O379">
        <v>49.8934533224826</v>
      </c>
      <c r="P379">
        <v>35.2622063576515</v>
      </c>
      <c r="Q379">
        <v>12.7358107679485</v>
      </c>
      <c r="R379">
        <v>15971743</v>
      </c>
      <c r="S379">
        <v>1.8494011341226812E-2</v>
      </c>
      <c r="T379">
        <v>60.624000000000002</v>
      </c>
      <c r="U379">
        <v>5.92</v>
      </c>
      <c r="V379">
        <v>36.073036999999999</v>
      </c>
      <c r="W379">
        <v>5.9288340000000002</v>
      </c>
      <c r="X379">
        <v>66.587230000000005</v>
      </c>
      <c r="Y379">
        <v>28.805900000000001</v>
      </c>
      <c r="Z379">
        <v>21.9573684260954</v>
      </c>
      <c r="AJ379">
        <v>-0.95410692691802979</v>
      </c>
      <c r="AK379">
        <v>-0.32563725113868708</v>
      </c>
      <c r="AL379">
        <v>7.6420450000000001E-2</v>
      </c>
      <c r="AM379">
        <f>VLOOKUP(D379,[1]Sheet1!$C$1:$D$191,2,FALSE)</f>
        <v>48</v>
      </c>
    </row>
    <row r="380" spans="1:39" x14ac:dyDescent="0.35">
      <c r="A380">
        <v>2016</v>
      </c>
      <c r="B380" t="s">
        <v>51</v>
      </c>
      <c r="C380">
        <v>48</v>
      </c>
      <c r="D380" t="s">
        <v>253</v>
      </c>
      <c r="E380">
        <v>3524</v>
      </c>
      <c r="F380">
        <v>3497725</v>
      </c>
      <c r="G380">
        <v>3501249</v>
      </c>
      <c r="H380">
        <v>63851284748.838997</v>
      </c>
      <c r="I380">
        <v>66053403469.002403</v>
      </c>
      <c r="J380">
        <v>2.6778025553283021E-2</v>
      </c>
      <c r="K380">
        <v>3924.7788244979301</v>
      </c>
      <c r="L380">
        <v>8.0322496726532716E-3</v>
      </c>
      <c r="M380">
        <v>3893.5052184813098</v>
      </c>
      <c r="N380">
        <v>4.4484419994282698</v>
      </c>
      <c r="O380">
        <v>46.372737518889501</v>
      </c>
      <c r="P380">
        <v>35.702849310923398</v>
      </c>
      <c r="Q380">
        <v>12.7960652625771</v>
      </c>
      <c r="R380">
        <v>16268760</v>
      </c>
      <c r="S380">
        <v>1.8596404913352287E-2</v>
      </c>
      <c r="T380">
        <v>61.110999999999997</v>
      </c>
      <c r="U380">
        <v>5.92</v>
      </c>
      <c r="V380">
        <v>37.550741000000002</v>
      </c>
      <c r="W380">
        <v>5.8030679999999997</v>
      </c>
      <c r="X380">
        <v>66.772350000000003</v>
      </c>
      <c r="Y380">
        <v>34.509300000000003</v>
      </c>
      <c r="AJ380">
        <v>-1.03206479549408</v>
      </c>
      <c r="AK380">
        <v>-0.29981479048728937</v>
      </c>
      <c r="AL380">
        <v>5.3868949999999999E-2</v>
      </c>
      <c r="AM380">
        <f>VLOOKUP(D380,[1]Sheet1!$C$1:$D$191,2,FALSE)</f>
        <v>48</v>
      </c>
    </row>
    <row r="381" spans="1:39" x14ac:dyDescent="0.35">
      <c r="A381">
        <v>2017</v>
      </c>
      <c r="B381" t="s">
        <v>51</v>
      </c>
      <c r="C381">
        <v>48</v>
      </c>
      <c r="D381" t="s">
        <v>253</v>
      </c>
      <c r="E381">
        <v>481060</v>
      </c>
      <c r="F381">
        <v>4299075</v>
      </c>
      <c r="G381">
        <v>5040197</v>
      </c>
      <c r="H381">
        <v>65817809494.362801</v>
      </c>
      <c r="I381">
        <v>71653754066.276306</v>
      </c>
      <c r="J381">
        <v>3.0798514912568943E-2</v>
      </c>
      <c r="K381">
        <v>3972.7404615209698</v>
      </c>
      <c r="L381">
        <v>1.2220213970700644E-2</v>
      </c>
      <c r="M381">
        <v>3924.7788244979301</v>
      </c>
      <c r="N381">
        <v>4.4245365518253799</v>
      </c>
      <c r="O381">
        <v>46.069420401362102</v>
      </c>
      <c r="P381">
        <v>35.167636364766203</v>
      </c>
      <c r="Q381">
        <v>12.893525522102101</v>
      </c>
      <c r="R381">
        <v>16567357</v>
      </c>
      <c r="S381">
        <v>1.8354011000223741E-2</v>
      </c>
      <c r="T381">
        <v>61.612000000000002</v>
      </c>
      <c r="U381">
        <v>5.86</v>
      </c>
      <c r="V381">
        <v>37.909261999999998</v>
      </c>
      <c r="W381">
        <v>5.720809</v>
      </c>
      <c r="X381">
        <v>65.846789999999999</v>
      </c>
      <c r="Y381">
        <v>37.9</v>
      </c>
      <c r="AJ381">
        <v>-1.0772886276245119</v>
      </c>
      <c r="AK381">
        <v>-0.36994704604148859</v>
      </c>
      <c r="AL381">
        <v>9.4501599999999991E-2</v>
      </c>
      <c r="AM381">
        <f>VLOOKUP(D381,[1]Sheet1!$C$1:$D$191,2,FALSE)</f>
        <v>48</v>
      </c>
    </row>
    <row r="382" spans="1:39" x14ac:dyDescent="0.35">
      <c r="A382">
        <v>2018</v>
      </c>
      <c r="B382" t="s">
        <v>51</v>
      </c>
      <c r="C382">
        <v>48</v>
      </c>
      <c r="D382" t="s">
        <v>253</v>
      </c>
      <c r="E382">
        <v>172045.99064999999</v>
      </c>
      <c r="F382">
        <v>11201526</v>
      </c>
      <c r="G382">
        <v>28335971.030713998</v>
      </c>
      <c r="H382">
        <v>68060138938.475403</v>
      </c>
      <c r="I382">
        <v>73328365862.432907</v>
      </c>
      <c r="J382">
        <v>3.4068733999794605E-2</v>
      </c>
      <c r="K382">
        <v>4040.2120150338401</v>
      </c>
      <c r="L382">
        <v>1.6983629856111643E-2</v>
      </c>
      <c r="M382">
        <v>3972.7404615209698</v>
      </c>
      <c r="N382">
        <v>3.7518618670450801</v>
      </c>
      <c r="O382">
        <v>47.011682071395001</v>
      </c>
      <c r="P382">
        <v>35.048902334519298</v>
      </c>
      <c r="Q382">
        <v>12.9824508391869</v>
      </c>
      <c r="R382">
        <v>16845685</v>
      </c>
      <c r="S382">
        <v>1.6799782850094917E-2</v>
      </c>
      <c r="T382">
        <v>61.16</v>
      </c>
      <c r="U382">
        <v>5.6</v>
      </c>
      <c r="V382">
        <v>36.835872999999999</v>
      </c>
      <c r="W382">
        <v>5.1600460000000004</v>
      </c>
      <c r="X382">
        <v>65.196629999999999</v>
      </c>
      <c r="Y382">
        <v>41.5</v>
      </c>
      <c r="AJ382">
        <v>-1.0757360458374019</v>
      </c>
      <c r="AK382">
        <v>-0.29199951887130737</v>
      </c>
      <c r="AL382">
        <v>0.132118175</v>
      </c>
      <c r="AM382">
        <f>VLOOKUP(D382,[1]Sheet1!$C$1:$D$191,2,FALSE)</f>
        <v>48</v>
      </c>
    </row>
    <row r="383" spans="1:39" x14ac:dyDescent="0.35">
      <c r="A383">
        <v>2019</v>
      </c>
      <c r="B383" t="s">
        <v>51</v>
      </c>
      <c r="C383">
        <v>48</v>
      </c>
      <c r="D383" t="s">
        <v>253</v>
      </c>
      <c r="E383">
        <v>273039.80645430001</v>
      </c>
      <c r="F383">
        <v>7925083.6441714196</v>
      </c>
      <c r="G383">
        <v>8198123.4506257204</v>
      </c>
      <c r="H383">
        <v>70794725855.0224</v>
      </c>
      <c r="I383">
        <v>77172317258.647797</v>
      </c>
      <c r="J383">
        <v>4.017897934382697E-2</v>
      </c>
      <c r="K383">
        <v>4139.1219166300298</v>
      </c>
      <c r="L383">
        <v>2.4481364153203043E-2</v>
      </c>
      <c r="M383">
        <v>4040.2120150338401</v>
      </c>
      <c r="N383">
        <v>3.6999839800860501</v>
      </c>
      <c r="O383">
        <v>45.516742749181503</v>
      </c>
      <c r="P383">
        <v>34.077233011511296</v>
      </c>
      <c r="Q383">
        <v>13.1269488755913</v>
      </c>
      <c r="R383">
        <v>17103803</v>
      </c>
      <c r="S383">
        <v>1.5322499500613955E-2</v>
      </c>
      <c r="T383">
        <v>59.58</v>
      </c>
      <c r="U383">
        <v>5.26</v>
      </c>
      <c r="V383">
        <v>36.933115999999998</v>
      </c>
      <c r="W383">
        <v>5.6066469999999997</v>
      </c>
      <c r="X383">
        <v>64.577550000000002</v>
      </c>
      <c r="Y383">
        <v>44.401000000000003</v>
      </c>
      <c r="Z383">
        <v>22.559501429792999</v>
      </c>
      <c r="AJ383">
        <v>-1.1004271507263179</v>
      </c>
      <c r="AK383">
        <v>-0.33517915010452271</v>
      </c>
      <c r="AL383">
        <v>0.16007225</v>
      </c>
      <c r="AM383">
        <f>VLOOKUP(D383,[1]Sheet1!$C$1:$D$191,2,FALSE)</f>
        <v>48</v>
      </c>
    </row>
    <row r="384" spans="1:39" x14ac:dyDescent="0.35">
      <c r="A384">
        <v>2020</v>
      </c>
      <c r="B384" t="s">
        <v>51</v>
      </c>
      <c r="C384">
        <v>48</v>
      </c>
      <c r="D384" t="s">
        <v>253</v>
      </c>
      <c r="E384">
        <v>415872.75560918002</v>
      </c>
      <c r="F384">
        <v>6230233.5394832036</v>
      </c>
      <c r="G384">
        <v>6646106.2950923834</v>
      </c>
      <c r="H384">
        <v>69530649250.789993</v>
      </c>
      <c r="I384">
        <v>77719464220.729996</v>
      </c>
      <c r="J384">
        <v>-1.7855519446760157E-2</v>
      </c>
      <c r="K384">
        <v>4005.83899021249</v>
      </c>
      <c r="L384">
        <v>-3.220077328044868E-2</v>
      </c>
      <c r="M384">
        <v>4139.1219166300298</v>
      </c>
      <c r="N384">
        <v>3.2144406219734498</v>
      </c>
      <c r="O384">
        <v>41.140761649452102</v>
      </c>
      <c r="P384">
        <v>35.850729526517398</v>
      </c>
      <c r="Q384">
        <v>14.998014996217901</v>
      </c>
      <c r="R384">
        <v>17357325</v>
      </c>
      <c r="S384">
        <v>1.4822551452445985E-2</v>
      </c>
      <c r="U384">
        <v>4.97</v>
      </c>
      <c r="V384">
        <v>36.085003999999998</v>
      </c>
      <c r="W384">
        <v>5.4256589999999996</v>
      </c>
      <c r="X384">
        <v>63.680070000000001</v>
      </c>
      <c r="Y384">
        <v>47.512300000000003</v>
      </c>
      <c r="AJ384">
        <v>-1.1003925800323491</v>
      </c>
      <c r="AK384">
        <v>-0.27050289511680597</v>
      </c>
      <c r="AL384">
        <v>5.5675650000000007E-2</v>
      </c>
      <c r="AM384">
        <f>VLOOKUP(D384,[1]Sheet1!$C$1:$D$191,2,FALSE)</f>
        <v>48</v>
      </c>
    </row>
    <row r="385" spans="1:39" x14ac:dyDescent="0.35">
      <c r="A385">
        <v>2013</v>
      </c>
      <c r="B385" t="s">
        <v>52</v>
      </c>
      <c r="C385">
        <v>49</v>
      </c>
      <c r="D385" t="s">
        <v>254</v>
      </c>
      <c r="E385">
        <v>33278.155426274388</v>
      </c>
      <c r="G385">
        <v>33278.155426274388</v>
      </c>
      <c r="H385">
        <v>8168199850.29177</v>
      </c>
      <c r="I385">
        <v>8376613539.2827797</v>
      </c>
      <c r="J385">
        <v>3.9456870862404798E-2</v>
      </c>
      <c r="K385">
        <v>729.83314323632601</v>
      </c>
      <c r="L385">
        <v>1.4353219620192401E-2</v>
      </c>
      <c r="M385">
        <v>719.50591679454601</v>
      </c>
      <c r="N385">
        <v>11.8875884481828</v>
      </c>
      <c r="O385">
        <v>80.426447718046106</v>
      </c>
      <c r="P385">
        <v>7.3418200738409896</v>
      </c>
      <c r="R385">
        <v>11191873</v>
      </c>
      <c r="S385">
        <v>2.4748431568652928E-2</v>
      </c>
      <c r="U385">
        <v>2.84</v>
      </c>
      <c r="V385">
        <v>1.5002795</v>
      </c>
      <c r="W385">
        <v>8.7807659999999998</v>
      </c>
      <c r="X385">
        <v>97.635249999999999</v>
      </c>
      <c r="Y385">
        <v>4.5</v>
      </c>
      <c r="Z385">
        <v>10.4364004135132</v>
      </c>
      <c r="AJ385">
        <v>-1.3835492134094241</v>
      </c>
      <c r="AK385">
        <v>-1.024412274360657</v>
      </c>
      <c r="AL385">
        <v>0.14238529999999999</v>
      </c>
      <c r="AM385">
        <f>VLOOKUP(D385,[1]Sheet1!$C$1:$D$191,2,FALSE)</f>
        <v>49</v>
      </c>
    </row>
    <row r="386" spans="1:39" x14ac:dyDescent="0.35">
      <c r="A386">
        <v>2014</v>
      </c>
      <c r="B386" t="s">
        <v>52</v>
      </c>
      <c r="C386">
        <v>49</v>
      </c>
      <c r="D386" t="s">
        <v>254</v>
      </c>
      <c r="E386">
        <v>5954</v>
      </c>
      <c r="G386">
        <v>5954</v>
      </c>
      <c r="H386">
        <v>8470141696.43118</v>
      </c>
      <c r="I386">
        <v>8778473372.8212395</v>
      </c>
      <c r="J386">
        <v>3.696553116640805E-2</v>
      </c>
      <c r="K386">
        <v>738.27227448130805</v>
      </c>
      <c r="L386">
        <v>1.1563096747785507E-2</v>
      </c>
      <c r="M386">
        <v>729.83314323632601</v>
      </c>
      <c r="N386">
        <v>6.1505055670641999</v>
      </c>
      <c r="O386">
        <v>76.771965895230494</v>
      </c>
      <c r="P386">
        <v>9.9357031086804408</v>
      </c>
      <c r="R386">
        <v>11472924</v>
      </c>
      <c r="S386">
        <v>2.5112061225140779E-2</v>
      </c>
      <c r="U386">
        <v>3.01</v>
      </c>
      <c r="V386">
        <v>1.8685768</v>
      </c>
      <c r="W386">
        <v>0</v>
      </c>
      <c r="X386">
        <v>0</v>
      </c>
      <c r="Y386">
        <v>6.4</v>
      </c>
      <c r="Z386">
        <v>10.8547201156616</v>
      </c>
      <c r="AJ386">
        <v>-1.367966771125793</v>
      </c>
      <c r="AK386">
        <v>-1.0696713924407959</v>
      </c>
      <c r="AL386">
        <v>0.111734075</v>
      </c>
      <c r="AM386">
        <f>VLOOKUP(D386,[1]Sheet1!$C$1:$D$191,2,FALSE)</f>
        <v>49</v>
      </c>
    </row>
    <row r="387" spans="1:39" x14ac:dyDescent="0.35">
      <c r="A387">
        <v>2015</v>
      </c>
      <c r="B387" t="s">
        <v>52</v>
      </c>
      <c r="C387">
        <v>49</v>
      </c>
      <c r="D387" t="s">
        <v>254</v>
      </c>
      <c r="E387">
        <v>3371.7967521909</v>
      </c>
      <c r="G387">
        <v>3371.7967521909</v>
      </c>
      <c r="H387">
        <v>8794201742.8460903</v>
      </c>
      <c r="I387">
        <v>8794201742.8460903</v>
      </c>
      <c r="J387">
        <v>3.8259105694943708E-2</v>
      </c>
      <c r="K387">
        <v>747.35696675944803</v>
      </c>
      <c r="L387">
        <v>1.2305341257089281E-2</v>
      </c>
      <c r="M387">
        <v>738.27227448130805</v>
      </c>
      <c r="N387">
        <v>11.780082502983401</v>
      </c>
      <c r="O387">
        <v>72.442730746934501</v>
      </c>
      <c r="P387">
        <v>11.820849950981099</v>
      </c>
      <c r="R387">
        <v>11767070</v>
      </c>
      <c r="S387">
        <v>2.5638276693892507E-2</v>
      </c>
      <c r="U387">
        <v>3.14</v>
      </c>
      <c r="V387">
        <v>2.2916091999999999</v>
      </c>
      <c r="W387">
        <v>9.1037990000000004</v>
      </c>
      <c r="X387">
        <v>74.018519999999995</v>
      </c>
      <c r="Y387">
        <v>9.1999999999999993</v>
      </c>
      <c r="AJ387">
        <v>-1.188139677047729</v>
      </c>
      <c r="AK387">
        <v>-0.90018546581268311</v>
      </c>
      <c r="AL387">
        <v>7.0402674999999998E-2</v>
      </c>
      <c r="AM387">
        <f>VLOOKUP(D387,[1]Sheet1!$C$1:$D$191,2,FALSE)</f>
        <v>49</v>
      </c>
    </row>
    <row r="388" spans="1:39" x14ac:dyDescent="0.35">
      <c r="A388">
        <v>2016</v>
      </c>
      <c r="B388" t="s">
        <v>52</v>
      </c>
      <c r="C388">
        <v>49</v>
      </c>
      <c r="D388" t="s">
        <v>254</v>
      </c>
      <c r="E388">
        <v>5188.73723622334</v>
      </c>
      <c r="G388">
        <v>5188.73723622334</v>
      </c>
      <c r="H388">
        <v>9745789528.3554897</v>
      </c>
      <c r="I388">
        <v>8595955222.4971905</v>
      </c>
      <c r="J388">
        <v>0.10820627196590041</v>
      </c>
      <c r="K388">
        <v>807.23642104388796</v>
      </c>
      <c r="L388">
        <v>8.0121624535164526E-2</v>
      </c>
      <c r="M388">
        <v>747.35696675944803</v>
      </c>
      <c r="N388">
        <v>8.1726811227513192</v>
      </c>
      <c r="O388">
        <v>111.83946741536801</v>
      </c>
      <c r="P388">
        <v>10.772259870664</v>
      </c>
      <c r="R388">
        <v>12073030</v>
      </c>
      <c r="S388">
        <v>2.6001375023688988E-2</v>
      </c>
      <c r="U388">
        <v>3.14</v>
      </c>
      <c r="V388">
        <v>2.4623385</v>
      </c>
      <c r="W388">
        <v>9.2714700000000008</v>
      </c>
      <c r="X388">
        <v>73.987819999999999</v>
      </c>
      <c r="Y388">
        <v>13.1</v>
      </c>
      <c r="AJ388">
        <v>-1.2448418140411379</v>
      </c>
      <c r="AK388">
        <v>-0.8883245587348938</v>
      </c>
      <c r="AL388">
        <v>0.11529159999999999</v>
      </c>
      <c r="AM388">
        <f>VLOOKUP(D388,[1]Sheet1!$C$1:$D$191,2,FALSE)</f>
        <v>49</v>
      </c>
    </row>
    <row r="389" spans="1:39" x14ac:dyDescent="0.35">
      <c r="A389">
        <v>2017</v>
      </c>
      <c r="B389" t="s">
        <v>52</v>
      </c>
      <c r="C389">
        <v>49</v>
      </c>
      <c r="D389" t="s">
        <v>254</v>
      </c>
      <c r="E389">
        <v>39209</v>
      </c>
      <c r="G389">
        <v>39209</v>
      </c>
      <c r="H389">
        <v>10749606370.467899</v>
      </c>
      <c r="I389">
        <v>10324668271.1362</v>
      </c>
      <c r="J389">
        <v>0.10300005342735882</v>
      </c>
      <c r="K389">
        <v>867.90750257760703</v>
      </c>
      <c r="L389">
        <v>7.5158999212723204E-2</v>
      </c>
      <c r="M389">
        <v>807.23642104388796</v>
      </c>
      <c r="N389">
        <v>8.9143594791309706</v>
      </c>
      <c r="O389">
        <v>101.251633768429</v>
      </c>
      <c r="P389">
        <v>9.1156915280241098</v>
      </c>
      <c r="R389">
        <v>12385659</v>
      </c>
      <c r="S389">
        <v>2.589482507705191E-2</v>
      </c>
      <c r="U389">
        <v>3.14</v>
      </c>
      <c r="V389">
        <v>2.4524970000000001</v>
      </c>
      <c r="W389">
        <v>10.920780000000001</v>
      </c>
      <c r="X389">
        <v>71.347120000000004</v>
      </c>
      <c r="Y389">
        <v>18.7</v>
      </c>
      <c r="AJ389">
        <v>-1.254245400428772</v>
      </c>
      <c r="AK389">
        <v>-0.86464661359786987</v>
      </c>
      <c r="AL389">
        <v>8.0597674999999994E-2</v>
      </c>
      <c r="AM389">
        <f>VLOOKUP(D389,[1]Sheet1!$C$1:$D$191,2,FALSE)</f>
        <v>49</v>
      </c>
    </row>
    <row r="390" spans="1:39" x14ac:dyDescent="0.35">
      <c r="A390">
        <v>2018</v>
      </c>
      <c r="B390" t="s">
        <v>52</v>
      </c>
      <c r="C390">
        <v>49</v>
      </c>
      <c r="D390" t="s">
        <v>254</v>
      </c>
      <c r="E390">
        <v>140</v>
      </c>
      <c r="G390">
        <v>140</v>
      </c>
      <c r="H390">
        <v>11433119223.757799</v>
      </c>
      <c r="I390">
        <v>11857030366.789101</v>
      </c>
      <c r="J390">
        <v>6.3584919273667176E-2</v>
      </c>
      <c r="K390">
        <v>899.90732804517495</v>
      </c>
      <c r="L390">
        <v>3.6870087391261533E-2</v>
      </c>
      <c r="M390">
        <v>867.90750257760703</v>
      </c>
      <c r="N390">
        <v>9.8276170125919098</v>
      </c>
      <c r="O390">
        <v>88.984111543709005</v>
      </c>
      <c r="P390">
        <v>9.6517376716893803</v>
      </c>
      <c r="R390">
        <v>12704774</v>
      </c>
      <c r="S390">
        <v>2.5764878558339123E-2</v>
      </c>
      <c r="U390">
        <v>3.14</v>
      </c>
      <c r="V390">
        <v>2.4961972000000001</v>
      </c>
      <c r="W390">
        <v>9.3281559999999999</v>
      </c>
      <c r="X390">
        <v>72.929869999999994</v>
      </c>
      <c r="Y390">
        <v>21.83</v>
      </c>
      <c r="AJ390">
        <v>-1.2317943572998049</v>
      </c>
      <c r="AK390">
        <v>-0.80640923976898193</v>
      </c>
      <c r="AL390">
        <v>7.9596799999999995E-2</v>
      </c>
      <c r="AM390">
        <f>VLOOKUP(D390,[1]Sheet1!$C$1:$D$191,2,FALSE)</f>
        <v>49</v>
      </c>
    </row>
    <row r="391" spans="1:39" x14ac:dyDescent="0.35">
      <c r="A391">
        <v>2019</v>
      </c>
      <c r="B391" t="s">
        <v>52</v>
      </c>
      <c r="C391">
        <v>49</v>
      </c>
      <c r="D391" t="s">
        <v>254</v>
      </c>
      <c r="E391">
        <v>5170</v>
      </c>
      <c r="G391">
        <v>5170</v>
      </c>
      <c r="H391">
        <v>12075307751.6835</v>
      </c>
      <c r="I391">
        <v>13442861496.4454</v>
      </c>
      <c r="J391">
        <v>5.6169144688987926E-2</v>
      </c>
      <c r="K391">
        <v>926.42221954853005</v>
      </c>
      <c r="L391">
        <v>2.9464024435662855E-2</v>
      </c>
      <c r="M391">
        <v>899.90732804517495</v>
      </c>
      <c r="N391">
        <v>9.4700103925301207</v>
      </c>
      <c r="O391">
        <v>78.415313228597398</v>
      </c>
      <c r="P391">
        <v>10.2918968518411</v>
      </c>
      <c r="R391">
        <v>13034346</v>
      </c>
      <c r="S391">
        <v>2.5940799891442382E-2</v>
      </c>
      <c r="T391">
        <v>41.47</v>
      </c>
      <c r="U391">
        <v>3.14</v>
      </c>
      <c r="V391">
        <v>2.5338747000000001</v>
      </c>
      <c r="W391">
        <v>10.652850000000001</v>
      </c>
      <c r="X391">
        <v>72.515590000000003</v>
      </c>
      <c r="Y391">
        <v>22.625499999999999</v>
      </c>
      <c r="AJ391">
        <v>-1.2371699810028081</v>
      </c>
      <c r="AK391">
        <v>-0.81219023466110229</v>
      </c>
      <c r="AL391">
        <v>0.19986625</v>
      </c>
      <c r="AM391">
        <f>VLOOKUP(D391,[1]Sheet1!$C$1:$D$191,2,FALSE)</f>
        <v>49</v>
      </c>
    </row>
    <row r="392" spans="1:39" x14ac:dyDescent="0.35">
      <c r="A392">
        <v>2020</v>
      </c>
      <c r="B392" t="s">
        <v>52</v>
      </c>
      <c r="C392">
        <v>49</v>
      </c>
      <c r="D392" t="s">
        <v>254</v>
      </c>
      <c r="E392">
        <v>32483.751023240002</v>
      </c>
      <c r="G392">
        <v>32483.751023240002</v>
      </c>
      <c r="H392">
        <v>12643401588.6985</v>
      </c>
      <c r="I392">
        <v>14088693742.9464</v>
      </c>
      <c r="J392">
        <v>4.7045909611355255E-2</v>
      </c>
      <c r="K392">
        <v>945.57090338966498</v>
      </c>
      <c r="L392">
        <v>2.0669499756241366E-2</v>
      </c>
      <c r="M392">
        <v>926.42221954853005</v>
      </c>
      <c r="N392">
        <v>10.6016203387167</v>
      </c>
      <c r="O392">
        <v>115.765259518929</v>
      </c>
      <c r="P392">
        <v>10.0230932191264</v>
      </c>
      <c r="R392">
        <v>13371183</v>
      </c>
      <c r="S392">
        <v>2.584226320215836E-2</v>
      </c>
      <c r="U392">
        <v>3.08</v>
      </c>
      <c r="V392">
        <v>2.5403576000000001</v>
      </c>
      <c r="W392">
        <v>10.980420000000001</v>
      </c>
      <c r="X392">
        <v>65.574650000000005</v>
      </c>
      <c r="Y392">
        <v>23.4499</v>
      </c>
      <c r="AJ392">
        <v>-1.3037986755371089</v>
      </c>
      <c r="AK392">
        <v>-0.878001868724823</v>
      </c>
      <c r="AL392">
        <v>0.17807970000000001</v>
      </c>
      <c r="AM392">
        <f>VLOOKUP(D392,[1]Sheet1!$C$1:$D$191,2,FALSE)</f>
        <v>49</v>
      </c>
    </row>
    <row r="393" spans="1:39" x14ac:dyDescent="0.35">
      <c r="A393">
        <v>2013</v>
      </c>
      <c r="B393" t="s">
        <v>53</v>
      </c>
      <c r="C393">
        <v>50</v>
      </c>
      <c r="D393" t="s">
        <v>349</v>
      </c>
      <c r="E393">
        <v>17382</v>
      </c>
      <c r="G393">
        <v>17382</v>
      </c>
      <c r="H393">
        <v>14233433330.502899</v>
      </c>
      <c r="I393">
        <v>14902488604.2421</v>
      </c>
      <c r="J393">
        <v>4.3247841147289676E-2</v>
      </c>
      <c r="K393">
        <v>1392.3820473685901</v>
      </c>
      <c r="L393">
        <v>2.7675096675068653E-2</v>
      </c>
      <c r="M393">
        <v>1354.88546124499</v>
      </c>
      <c r="N393">
        <v>4.7650240477914201</v>
      </c>
      <c r="O393">
        <v>40.332509756255099</v>
      </c>
      <c r="P393">
        <v>10.761527608902499</v>
      </c>
      <c r="R393">
        <v>10222362</v>
      </c>
      <c r="S393">
        <v>1.5153373398461593E-2</v>
      </c>
      <c r="U393">
        <v>3.94</v>
      </c>
      <c r="V393">
        <v>0</v>
      </c>
      <c r="W393">
        <v>6.6647600000000002</v>
      </c>
      <c r="X393">
        <v>90.786600000000007</v>
      </c>
      <c r="Y393">
        <v>10.6</v>
      </c>
      <c r="AJ393">
        <v>-1.300567507743835</v>
      </c>
      <c r="AK393">
        <v>-0.94070959091186523</v>
      </c>
      <c r="AL393">
        <v>7.91076E-2</v>
      </c>
      <c r="AM393">
        <f>VLOOKUP(D393,[1]Sheet1!$C$1:$D$191,2,FALSE)</f>
        <v>50</v>
      </c>
    </row>
    <row r="394" spans="1:39" x14ac:dyDescent="0.35">
      <c r="A394">
        <v>2014</v>
      </c>
      <c r="B394" t="s">
        <v>53</v>
      </c>
      <c r="C394">
        <v>50</v>
      </c>
      <c r="D394" t="s">
        <v>349</v>
      </c>
      <c r="E394">
        <v>115984</v>
      </c>
      <c r="G394">
        <v>115984</v>
      </c>
      <c r="H394">
        <v>14644604839.589199</v>
      </c>
      <c r="I394">
        <v>15146883497.633101</v>
      </c>
      <c r="J394">
        <v>2.8887725086338835E-2</v>
      </c>
      <c r="K394">
        <v>1411.7683480215401</v>
      </c>
      <c r="L394">
        <v>1.392311879457757E-2</v>
      </c>
      <c r="M394">
        <v>1392.3820473685901</v>
      </c>
      <c r="N394">
        <v>3.43816659958601</v>
      </c>
      <c r="O394">
        <v>42.3515259071619</v>
      </c>
      <c r="P394">
        <v>11.4152315549394</v>
      </c>
      <c r="R394">
        <v>10373235</v>
      </c>
      <c r="S394">
        <v>1.475911340255804E-2</v>
      </c>
      <c r="U394">
        <v>3.82</v>
      </c>
      <c r="V394">
        <v>1.089815</v>
      </c>
      <c r="W394">
        <v>6.7542280000000003</v>
      </c>
      <c r="X394">
        <v>90.090180000000004</v>
      </c>
      <c r="Y394">
        <v>11.4</v>
      </c>
      <c r="AJ394">
        <v>-1.1803228855133061</v>
      </c>
      <c r="AK394">
        <v>-1.082755565643311</v>
      </c>
      <c r="AL394">
        <v>9.0061250000000002E-3</v>
      </c>
      <c r="AM394">
        <f>VLOOKUP(D394,[1]Sheet1!$C$1:$D$191,2,FALSE)</f>
        <v>50</v>
      </c>
    </row>
    <row r="395" spans="1:39" x14ac:dyDescent="0.35">
      <c r="A395">
        <v>2015</v>
      </c>
      <c r="B395" t="s">
        <v>53</v>
      </c>
      <c r="C395">
        <v>50</v>
      </c>
      <c r="D395" t="s">
        <v>349</v>
      </c>
      <c r="E395">
        <v>74739</v>
      </c>
      <c r="G395">
        <v>74739</v>
      </c>
      <c r="H395">
        <v>14849629308.602501</v>
      </c>
      <c r="I395">
        <v>14849629308.602501</v>
      </c>
      <c r="J395">
        <v>1.400000008597385E-2</v>
      </c>
      <c r="K395">
        <v>1411.12684746796</v>
      </c>
      <c r="L395">
        <v>-4.5439505318209394E-4</v>
      </c>
      <c r="M395">
        <v>1411.7683480215401</v>
      </c>
      <c r="N395">
        <v>6.7318406965899698</v>
      </c>
      <c r="O395">
        <v>41.945738117204399</v>
      </c>
      <c r="P395">
        <v>10.7679267730686</v>
      </c>
      <c r="R395">
        <v>10523242</v>
      </c>
      <c r="S395">
        <v>1.4460966130623667E-2</v>
      </c>
      <c r="U395">
        <v>3.94</v>
      </c>
      <c r="V395">
        <v>1.2964834000000001</v>
      </c>
      <c r="W395">
        <v>5.3173500000000002</v>
      </c>
      <c r="X395">
        <v>80.280090000000001</v>
      </c>
      <c r="Y395">
        <v>14.2</v>
      </c>
      <c r="AJ395">
        <v>-1.1951984167098999</v>
      </c>
      <c r="AK395">
        <v>-1.2061266899108889</v>
      </c>
      <c r="AL395">
        <v>0.1157516</v>
      </c>
      <c r="AM395">
        <f>VLOOKUP(D395,[1]Sheet1!$C$1:$D$191,2,FALSE)</f>
        <v>50</v>
      </c>
    </row>
    <row r="396" spans="1:39" x14ac:dyDescent="0.35">
      <c r="A396">
        <v>2016</v>
      </c>
      <c r="B396" t="s">
        <v>53</v>
      </c>
      <c r="C396">
        <v>50</v>
      </c>
      <c r="D396" t="s">
        <v>349</v>
      </c>
      <c r="E396">
        <v>195464.6078386569</v>
      </c>
      <c r="G396">
        <v>195464.6078386569</v>
      </c>
      <c r="H396">
        <v>15118774099.5928</v>
      </c>
      <c r="I396">
        <v>14069277526.2278</v>
      </c>
      <c r="J396">
        <v>1.8124680784750744E-2</v>
      </c>
      <c r="K396">
        <v>1416.74881879698</v>
      </c>
      <c r="L396">
        <v>3.9840297412721565E-3</v>
      </c>
      <c r="M396">
        <v>1411.12684746796</v>
      </c>
      <c r="N396">
        <v>11.5029073942666</v>
      </c>
      <c r="O396">
        <v>41.4109022161974</v>
      </c>
      <c r="P396">
        <v>10.4552757071217</v>
      </c>
      <c r="R396">
        <v>10671457</v>
      </c>
      <c r="S396">
        <v>1.4084537825890538E-2</v>
      </c>
      <c r="U396">
        <v>4.0199999999999996</v>
      </c>
      <c r="V396">
        <v>2.0268080999999998</v>
      </c>
      <c r="W396">
        <v>5.4010160000000003</v>
      </c>
      <c r="X396">
        <v>79.893919999999994</v>
      </c>
      <c r="Y396">
        <v>22.8</v>
      </c>
      <c r="AJ396">
        <v>-1.0121468305587771</v>
      </c>
      <c r="AK396">
        <v>-1.258485794067383</v>
      </c>
      <c r="AL396">
        <v>0.31385837500000002</v>
      </c>
      <c r="AM396">
        <f>VLOOKUP(D396,[1]Sheet1!$C$1:$D$191,2,FALSE)</f>
        <v>50</v>
      </c>
    </row>
    <row r="397" spans="1:39" x14ac:dyDescent="0.35">
      <c r="A397">
        <v>2017</v>
      </c>
      <c r="B397" t="s">
        <v>53</v>
      </c>
      <c r="C397">
        <v>50</v>
      </c>
      <c r="D397" t="s">
        <v>349</v>
      </c>
      <c r="E397">
        <v>708105</v>
      </c>
      <c r="F397">
        <v>1171375</v>
      </c>
      <c r="G397">
        <v>1879480</v>
      </c>
      <c r="H397">
        <v>15498296353.5977</v>
      </c>
      <c r="I397">
        <v>15093357161.149799</v>
      </c>
      <c r="J397">
        <v>2.5102713454467303E-2</v>
      </c>
      <c r="K397">
        <v>1432.6722860954101</v>
      </c>
      <c r="L397">
        <v>1.1239442791243224E-2</v>
      </c>
      <c r="M397">
        <v>1416.74881879698</v>
      </c>
      <c r="N397">
        <v>10.6800887242584</v>
      </c>
      <c r="O397">
        <v>42.074547786891102</v>
      </c>
      <c r="P397">
        <v>9.8263189731595801</v>
      </c>
      <c r="R397">
        <v>10817754</v>
      </c>
      <c r="S397">
        <v>1.3709187039782852E-2</v>
      </c>
      <c r="U397">
        <v>4.03</v>
      </c>
      <c r="V397">
        <v>2.2634965</v>
      </c>
      <c r="W397">
        <v>5.4149000000000003</v>
      </c>
      <c r="X397">
        <v>82.590950000000007</v>
      </c>
      <c r="Y397">
        <v>27.2</v>
      </c>
      <c r="AJ397">
        <v>-1.0917907953262329</v>
      </c>
      <c r="AK397">
        <v>-1.346591114997864</v>
      </c>
      <c r="AL397">
        <v>0.11892177499999999</v>
      </c>
      <c r="AM397">
        <f>VLOOKUP(D397,[1]Sheet1!$C$1:$D$191,2,FALSE)</f>
        <v>50</v>
      </c>
    </row>
    <row r="398" spans="1:39" x14ac:dyDescent="0.35">
      <c r="A398">
        <v>2018</v>
      </c>
      <c r="B398" t="s">
        <v>53</v>
      </c>
      <c r="C398">
        <v>50</v>
      </c>
      <c r="D398" t="s">
        <v>349</v>
      </c>
      <c r="E398">
        <v>44300.38</v>
      </c>
      <c r="F398">
        <v>1058350</v>
      </c>
      <c r="G398">
        <v>1102650.3799999999</v>
      </c>
      <c r="H398">
        <v>15756778637.997601</v>
      </c>
      <c r="I398">
        <v>16403864617.8458</v>
      </c>
      <c r="J398">
        <v>1.6678109548466442E-2</v>
      </c>
      <c r="K398">
        <v>1437.35251928349</v>
      </c>
      <c r="L398">
        <v>3.2667855960523732E-3</v>
      </c>
      <c r="M398">
        <v>1432.6722860954101</v>
      </c>
      <c r="N398">
        <v>12.4814111170435</v>
      </c>
      <c r="O398">
        <v>45.138576302722299</v>
      </c>
      <c r="P398">
        <v>11.206330653387401</v>
      </c>
      <c r="R398">
        <v>10962362</v>
      </c>
      <c r="S398">
        <v>1.3367654690613228E-2</v>
      </c>
      <c r="U398">
        <v>4.91</v>
      </c>
      <c r="V398">
        <v>2.1143109999999998</v>
      </c>
      <c r="W398">
        <v>5.5450390000000001</v>
      </c>
      <c r="X398">
        <v>81.437860000000001</v>
      </c>
      <c r="Y398">
        <v>32.473599999999998</v>
      </c>
      <c r="AJ398">
        <v>-1.0608177185058589</v>
      </c>
      <c r="AK398">
        <v>-1.3022950887680049</v>
      </c>
      <c r="AL398">
        <v>7.9639799999999997E-2</v>
      </c>
      <c r="AM398">
        <f>VLOOKUP(D398,[1]Sheet1!$C$1:$D$191,2,FALSE)</f>
        <v>50</v>
      </c>
    </row>
    <row r="399" spans="1:39" x14ac:dyDescent="0.35">
      <c r="A399">
        <v>2019</v>
      </c>
      <c r="B399" t="s">
        <v>53</v>
      </c>
      <c r="C399">
        <v>50</v>
      </c>
      <c r="D399" t="s">
        <v>349</v>
      </c>
      <c r="F399">
        <v>895997.12599700002</v>
      </c>
      <c r="G399">
        <v>895997.12599700002</v>
      </c>
      <c r="H399">
        <v>15485274058.243</v>
      </c>
      <c r="I399">
        <v>15016090929.512501</v>
      </c>
      <c r="J399">
        <v>-1.7230969983919493E-2</v>
      </c>
      <c r="K399">
        <v>1394.42114071112</v>
      </c>
      <c r="L399">
        <v>-2.9868371186889498E-2</v>
      </c>
      <c r="M399">
        <v>1437.35251928349</v>
      </c>
      <c r="N399">
        <v>18.703782567250599</v>
      </c>
      <c r="O399">
        <v>44.568718775829403</v>
      </c>
      <c r="P399">
        <v>10.368700865904801</v>
      </c>
      <c r="R399">
        <v>11105163</v>
      </c>
      <c r="S399">
        <v>1.3026480971892736E-2</v>
      </c>
      <c r="U399">
        <v>4.57</v>
      </c>
      <c r="V399">
        <v>3.8084205999999998</v>
      </c>
      <c r="W399">
        <v>5.5644479999999996</v>
      </c>
      <c r="X399">
        <v>80.657570000000007</v>
      </c>
      <c r="Y399">
        <v>39.262</v>
      </c>
      <c r="AJ399">
        <v>-0.97382909059524536</v>
      </c>
      <c r="AK399">
        <v>-1.315816402435303</v>
      </c>
      <c r="AL399">
        <v>6.9081324999999999E-2</v>
      </c>
      <c r="AM399">
        <f>VLOOKUP(D399,[1]Sheet1!$C$1:$D$191,2,FALSE)</f>
        <v>50</v>
      </c>
    </row>
    <row r="400" spans="1:39" x14ac:dyDescent="0.35">
      <c r="A400">
        <v>2020</v>
      </c>
      <c r="B400" t="s">
        <v>53</v>
      </c>
      <c r="C400">
        <v>50</v>
      </c>
      <c r="D400" t="s">
        <v>349</v>
      </c>
      <c r="E400">
        <v>19493.86</v>
      </c>
      <c r="F400">
        <v>678055.80260000005</v>
      </c>
      <c r="G400">
        <v>697549.66260000004</v>
      </c>
      <c r="H400">
        <v>14973407477.2561</v>
      </c>
      <c r="I400">
        <v>14508222518.3018</v>
      </c>
      <c r="J400">
        <v>-3.3055054696589467E-2</v>
      </c>
      <c r="K400">
        <v>1331.6977850693199</v>
      </c>
      <c r="L400">
        <v>-4.498164421819701E-2</v>
      </c>
      <c r="M400">
        <v>1394.42114071112</v>
      </c>
      <c r="N400">
        <v>22.796311364252801</v>
      </c>
      <c r="O400">
        <v>34.457201906164201</v>
      </c>
      <c r="P400">
        <v>8.6093359694295692</v>
      </c>
      <c r="R400">
        <v>11243848</v>
      </c>
      <c r="S400">
        <v>1.2488335380579285E-2</v>
      </c>
      <c r="U400">
        <v>4.22</v>
      </c>
      <c r="V400">
        <v>0</v>
      </c>
      <c r="W400">
        <v>7.6319520000000001</v>
      </c>
      <c r="X400">
        <v>81.002979999999994</v>
      </c>
      <c r="AJ400">
        <v>-1.030540466308594</v>
      </c>
      <c r="AK400">
        <v>-1.256036758422852</v>
      </c>
      <c r="AL400">
        <v>0.10661080000000001</v>
      </c>
      <c r="AM400">
        <f>VLOOKUP(D400,[1]Sheet1!$C$1:$D$191,2,FALSE)</f>
        <v>50</v>
      </c>
    </row>
    <row r="401" spans="1:39" x14ac:dyDescent="0.35">
      <c r="A401">
        <v>2013</v>
      </c>
      <c r="B401" t="s">
        <v>54</v>
      </c>
      <c r="C401">
        <v>51</v>
      </c>
      <c r="D401" t="s">
        <v>255</v>
      </c>
      <c r="E401">
        <v>664842.32999999903</v>
      </c>
      <c r="G401">
        <v>664842.32999999903</v>
      </c>
      <c r="H401">
        <v>294047626477.76703</v>
      </c>
      <c r="I401">
        <v>275696879834.966</v>
      </c>
      <c r="J401">
        <v>3.1015083474061234E-2</v>
      </c>
      <c r="K401">
        <v>40959.983629492999</v>
      </c>
      <c r="L401">
        <v>2.6878901830068486E-2</v>
      </c>
      <c r="M401">
        <v>39887.842233875403</v>
      </c>
      <c r="N401">
        <v>4.3379934210526701</v>
      </c>
      <c r="O401">
        <v>442.62001912729897</v>
      </c>
      <c r="P401">
        <v>218.160392086255</v>
      </c>
      <c r="R401">
        <v>7178900</v>
      </c>
      <c r="S401">
        <v>4.0279156934868044E-3</v>
      </c>
      <c r="T401">
        <v>43.738999999999997</v>
      </c>
      <c r="U401">
        <v>6.42</v>
      </c>
      <c r="V401">
        <v>50.151967999999997</v>
      </c>
      <c r="W401">
        <v>0.80220840000000004</v>
      </c>
      <c r="X401">
        <v>61.408540000000002</v>
      </c>
      <c r="Y401">
        <v>74.2</v>
      </c>
      <c r="Z401">
        <v>68.085898685403393</v>
      </c>
      <c r="AA401">
        <v>2018</v>
      </c>
      <c r="AB401">
        <v>2021</v>
      </c>
      <c r="AC401">
        <v>0</v>
      </c>
      <c r="AD401">
        <v>0</v>
      </c>
      <c r="AE401">
        <v>3</v>
      </c>
      <c r="AF401">
        <v>0</v>
      </c>
      <c r="AJ401">
        <v>1.565581083297729</v>
      </c>
      <c r="AK401">
        <v>1.919577956199646</v>
      </c>
      <c r="AL401">
        <v>3.9679800000000001E-2</v>
      </c>
      <c r="AM401">
        <f>VLOOKUP(D401,[1]Sheet1!$C$1:$D$191,2,FALSE)</f>
        <v>51</v>
      </c>
    </row>
    <row r="402" spans="1:39" x14ac:dyDescent="0.35">
      <c r="A402">
        <v>2014</v>
      </c>
      <c r="B402" t="s">
        <v>54</v>
      </c>
      <c r="C402">
        <v>51</v>
      </c>
      <c r="D402" t="s">
        <v>255</v>
      </c>
      <c r="E402">
        <v>3123539.98</v>
      </c>
      <c r="F402">
        <v>250000</v>
      </c>
      <c r="G402">
        <v>3373539.98</v>
      </c>
      <c r="H402">
        <v>302170465323.71698</v>
      </c>
      <c r="I402">
        <v>291459995978.89301</v>
      </c>
      <c r="J402">
        <v>2.7624228575652589E-2</v>
      </c>
      <c r="K402">
        <v>41796.869122860102</v>
      </c>
      <c r="L402">
        <v>2.043178290639033E-2</v>
      </c>
      <c r="M402">
        <v>40959.983629492999</v>
      </c>
      <c r="N402">
        <v>4.4236453201969903</v>
      </c>
      <c r="O402">
        <v>425.97587173479701</v>
      </c>
      <c r="P402">
        <v>233.21100117035101</v>
      </c>
      <c r="R402">
        <v>7229500</v>
      </c>
      <c r="S402">
        <v>7.0484336040340439E-3</v>
      </c>
      <c r="T402">
        <v>43.152999999999999</v>
      </c>
      <c r="U402">
        <v>6.46</v>
      </c>
      <c r="V402">
        <v>49.760868000000002</v>
      </c>
      <c r="W402">
        <v>0.72104749999999995</v>
      </c>
      <c r="X402">
        <v>60.890189999999997</v>
      </c>
      <c r="Y402">
        <v>79.866299999999995</v>
      </c>
      <c r="Z402">
        <v>69.688150628571407</v>
      </c>
      <c r="AA402">
        <v>2018</v>
      </c>
      <c r="AB402">
        <v>2021</v>
      </c>
      <c r="AC402">
        <v>0</v>
      </c>
      <c r="AD402">
        <v>0</v>
      </c>
      <c r="AE402">
        <v>3</v>
      </c>
      <c r="AF402">
        <v>0</v>
      </c>
      <c r="AJ402">
        <v>1.856310248374939</v>
      </c>
      <c r="AK402">
        <v>2.0507726669311519</v>
      </c>
      <c r="AL402">
        <v>1.4370674999999999E-2</v>
      </c>
      <c r="AM402">
        <f>VLOOKUP(D402,[1]Sheet1!$C$1:$D$191,2,FALSE)</f>
        <v>51</v>
      </c>
    </row>
    <row r="403" spans="1:39" x14ac:dyDescent="0.35">
      <c r="A403">
        <v>2015</v>
      </c>
      <c r="B403" t="s">
        <v>54</v>
      </c>
      <c r="C403">
        <v>51</v>
      </c>
      <c r="D403" t="s">
        <v>255</v>
      </c>
      <c r="E403">
        <v>3763119.7880000002</v>
      </c>
      <c r="F403">
        <v>5500000</v>
      </c>
      <c r="G403">
        <v>9263119.7879999988</v>
      </c>
      <c r="H403">
        <v>309385622601.34802</v>
      </c>
      <c r="I403">
        <v>309385622601.34802</v>
      </c>
      <c r="J403">
        <v>2.3877771343077499E-2</v>
      </c>
      <c r="K403">
        <v>42432.161974044102</v>
      </c>
      <c r="L403">
        <v>1.5199532034722121E-2</v>
      </c>
      <c r="M403">
        <v>41796.869122860102</v>
      </c>
      <c r="N403">
        <v>2.9908481932258102</v>
      </c>
      <c r="O403">
        <v>389.405949263639</v>
      </c>
      <c r="P403">
        <v>207.89932818519901</v>
      </c>
      <c r="R403">
        <v>7291300</v>
      </c>
      <c r="S403">
        <v>8.548309011688222E-3</v>
      </c>
      <c r="T403">
        <v>42.133000000000003</v>
      </c>
      <c r="U403">
        <v>6.5</v>
      </c>
      <c r="V403">
        <v>49.405284000000002</v>
      </c>
      <c r="W403">
        <v>1.523523</v>
      </c>
      <c r="X403">
        <v>61.610779999999998</v>
      </c>
      <c r="Y403">
        <v>84.948400000000007</v>
      </c>
      <c r="Z403">
        <v>68.700871865654506</v>
      </c>
      <c r="AA403">
        <v>2018</v>
      </c>
      <c r="AB403">
        <v>2021</v>
      </c>
      <c r="AC403">
        <v>0</v>
      </c>
      <c r="AD403">
        <v>0</v>
      </c>
      <c r="AE403">
        <v>3</v>
      </c>
      <c r="AF403">
        <v>0</v>
      </c>
      <c r="AJ403">
        <v>1.790264368057251</v>
      </c>
      <c r="AK403">
        <v>2.1811025142669682</v>
      </c>
      <c r="AL403">
        <v>2.112255E-2</v>
      </c>
      <c r="AM403">
        <f>VLOOKUP(D403,[1]Sheet1!$C$1:$D$191,2,FALSE)</f>
        <v>51</v>
      </c>
    </row>
    <row r="404" spans="1:39" x14ac:dyDescent="0.35">
      <c r="A404">
        <v>2016</v>
      </c>
      <c r="B404" t="s">
        <v>54</v>
      </c>
      <c r="C404">
        <v>51</v>
      </c>
      <c r="D404" t="s">
        <v>255</v>
      </c>
      <c r="E404">
        <v>4144053.3580457899</v>
      </c>
      <c r="G404">
        <v>4144053.3580457903</v>
      </c>
      <c r="H404">
        <v>316116094447.43701</v>
      </c>
      <c r="I404">
        <v>320860317562.56201</v>
      </c>
      <c r="J404">
        <v>2.175431356343727E-2</v>
      </c>
      <c r="K404">
        <v>43087.546608434001</v>
      </c>
      <c r="L404">
        <v>1.5445468811860201E-2</v>
      </c>
      <c r="M404">
        <v>42432.161974044102</v>
      </c>
      <c r="N404">
        <v>2.4093074386222399</v>
      </c>
      <c r="O404">
        <v>371.72723177325298</v>
      </c>
      <c r="P404">
        <v>214.300178832553</v>
      </c>
      <c r="R404">
        <v>7336600</v>
      </c>
      <c r="S404">
        <v>6.2128838478734934E-3</v>
      </c>
      <c r="T404">
        <v>41.988999999999997</v>
      </c>
      <c r="U404">
        <v>6.42</v>
      </c>
      <c r="V404">
        <v>50.651764999999997</v>
      </c>
      <c r="W404">
        <v>1.4309609999999999</v>
      </c>
      <c r="X404">
        <v>60.668680000000002</v>
      </c>
      <c r="Y404">
        <v>87.479399999999998</v>
      </c>
      <c r="Z404">
        <v>70.331637939110095</v>
      </c>
      <c r="AA404">
        <v>2018</v>
      </c>
      <c r="AB404">
        <v>2021</v>
      </c>
      <c r="AC404">
        <v>0</v>
      </c>
      <c r="AD404">
        <v>0</v>
      </c>
      <c r="AE404">
        <v>3</v>
      </c>
      <c r="AF404">
        <v>0</v>
      </c>
      <c r="AI404">
        <v>1</v>
      </c>
      <c r="AJ404">
        <v>1.684112429618835</v>
      </c>
      <c r="AK404">
        <v>2.1436958312988281</v>
      </c>
      <c r="AL404">
        <v>1.8055675E-2</v>
      </c>
      <c r="AM404">
        <f>VLOOKUP(D404,[1]Sheet1!$C$1:$D$191,2,FALSE)</f>
        <v>51</v>
      </c>
    </row>
    <row r="405" spans="1:39" x14ac:dyDescent="0.35">
      <c r="A405">
        <v>2017</v>
      </c>
      <c r="B405" t="s">
        <v>54</v>
      </c>
      <c r="C405">
        <v>51</v>
      </c>
      <c r="D405" t="s">
        <v>255</v>
      </c>
      <c r="E405">
        <v>7644510</v>
      </c>
      <c r="F405">
        <v>550000</v>
      </c>
      <c r="G405">
        <v>8194510</v>
      </c>
      <c r="H405">
        <v>328116190362.99402</v>
      </c>
      <c r="I405">
        <v>341273289534.466</v>
      </c>
      <c r="J405">
        <v>3.7961040663028793E-2</v>
      </c>
      <c r="K405">
        <v>44380.808088918697</v>
      </c>
      <c r="L405">
        <v>3.0014739345394798E-2</v>
      </c>
      <c r="M405">
        <v>43087.546608434001</v>
      </c>
      <c r="N405">
        <v>1.4938724393952201</v>
      </c>
      <c r="O405">
        <v>376.79566673472198</v>
      </c>
      <c r="P405">
        <v>223.371866412043</v>
      </c>
      <c r="R405">
        <v>7393200</v>
      </c>
      <c r="S405">
        <v>7.7147452498432514E-3</v>
      </c>
      <c r="T405">
        <v>41.39</v>
      </c>
      <c r="U405">
        <v>6.31</v>
      </c>
      <c r="V405">
        <v>50.421601000000003</v>
      </c>
      <c r="W405">
        <v>1.52077</v>
      </c>
      <c r="X405">
        <v>57.591610000000003</v>
      </c>
      <c r="Y405">
        <v>89.415899999999993</v>
      </c>
      <c r="Z405">
        <v>72.922851590964299</v>
      </c>
      <c r="AA405">
        <v>2018</v>
      </c>
      <c r="AB405">
        <v>2021</v>
      </c>
      <c r="AC405">
        <v>0</v>
      </c>
      <c r="AD405">
        <v>0</v>
      </c>
      <c r="AE405">
        <v>3</v>
      </c>
      <c r="AF405">
        <v>0</v>
      </c>
      <c r="AI405">
        <v>1</v>
      </c>
      <c r="AJ405">
        <v>1.68126904964447</v>
      </c>
      <c r="AK405">
        <v>2.1574299335479741</v>
      </c>
      <c r="AL405">
        <v>6.2207749999999996E-3</v>
      </c>
      <c r="AM405">
        <f>VLOOKUP(D405,[1]Sheet1!$C$1:$D$191,2,FALSE)</f>
        <v>51</v>
      </c>
    </row>
    <row r="406" spans="1:39" x14ac:dyDescent="0.35">
      <c r="A406">
        <v>2018</v>
      </c>
      <c r="B406" t="s">
        <v>54</v>
      </c>
      <c r="C406">
        <v>51</v>
      </c>
      <c r="D406" t="s">
        <v>255</v>
      </c>
      <c r="E406">
        <v>47395464.767641</v>
      </c>
      <c r="F406">
        <v>4000000</v>
      </c>
      <c r="G406">
        <v>51395464.767641</v>
      </c>
      <c r="H406">
        <v>337457421078.42603</v>
      </c>
      <c r="I406">
        <v>361731070995.72601</v>
      </c>
      <c r="J406">
        <v>2.8469277011591014E-2</v>
      </c>
      <c r="K406">
        <v>45280.495542284101</v>
      </c>
      <c r="L406">
        <v>2.0271993505905646E-2</v>
      </c>
      <c r="M406">
        <v>44380.808088918697</v>
      </c>
      <c r="N406">
        <v>2.4061343204653398</v>
      </c>
      <c r="O406">
        <v>376.89277354502599</v>
      </c>
      <c r="P406">
        <v>219.908123250485</v>
      </c>
      <c r="R406">
        <v>7452600</v>
      </c>
      <c r="S406">
        <v>8.0344099983768874E-3</v>
      </c>
      <c r="T406">
        <v>41.182000000000002</v>
      </c>
      <c r="U406">
        <v>6.15</v>
      </c>
      <c r="V406">
        <v>51.784478</v>
      </c>
      <c r="W406">
        <v>1.6333029999999999</v>
      </c>
      <c r="X406">
        <v>57.855710000000002</v>
      </c>
      <c r="Y406">
        <v>90.507400000000004</v>
      </c>
      <c r="Z406">
        <v>78.246319601154596</v>
      </c>
      <c r="AA406">
        <v>2018</v>
      </c>
      <c r="AB406">
        <v>2021</v>
      </c>
      <c r="AC406">
        <v>1</v>
      </c>
      <c r="AD406">
        <v>0</v>
      </c>
      <c r="AE406">
        <v>3</v>
      </c>
      <c r="AF406">
        <v>0</v>
      </c>
      <c r="AG406">
        <v>0</v>
      </c>
      <c r="AI406">
        <v>1</v>
      </c>
      <c r="AJ406">
        <v>1.729658246040344</v>
      </c>
      <c r="AK406">
        <v>2.2212915420532231</v>
      </c>
      <c r="AL406">
        <v>6.3527000000000002E-3</v>
      </c>
      <c r="AM406">
        <f>VLOOKUP(D406,[1]Sheet1!$C$1:$D$191,2,FALSE)</f>
        <v>51</v>
      </c>
    </row>
    <row r="407" spans="1:39" x14ac:dyDescent="0.35">
      <c r="A407">
        <v>2019</v>
      </c>
      <c r="B407" t="s">
        <v>54</v>
      </c>
      <c r="C407">
        <v>51</v>
      </c>
      <c r="D407" t="s">
        <v>255</v>
      </c>
      <c r="E407">
        <v>17949427.065279681</v>
      </c>
      <c r="F407">
        <v>289228051.76020211</v>
      </c>
      <c r="G407">
        <v>307177478.82548171</v>
      </c>
      <c r="H407">
        <v>331813812733.896</v>
      </c>
      <c r="I407">
        <v>363074545072.38898</v>
      </c>
      <c r="J407">
        <v>-1.6723912387211777E-2</v>
      </c>
      <c r="K407">
        <v>44195.289326428901</v>
      </c>
      <c r="L407">
        <v>-2.3966306085184207E-2</v>
      </c>
      <c r="M407">
        <v>45280.495542284101</v>
      </c>
      <c r="N407">
        <v>2.8832085377399599</v>
      </c>
      <c r="O407">
        <v>353.743521139731</v>
      </c>
      <c r="P407">
        <v>236.740071570624</v>
      </c>
      <c r="R407">
        <v>7507900</v>
      </c>
      <c r="S407">
        <v>7.4202291817620693E-3</v>
      </c>
      <c r="T407">
        <v>40.652000000000001</v>
      </c>
      <c r="U407">
        <v>6.02</v>
      </c>
      <c r="V407">
        <v>53.171908999999999</v>
      </c>
      <c r="W407">
        <v>1.5915900000000001</v>
      </c>
      <c r="X407">
        <v>57.54721</v>
      </c>
      <c r="Y407">
        <v>91.743399999999994</v>
      </c>
      <c r="Z407">
        <v>83.854211933577304</v>
      </c>
      <c r="AA407">
        <v>2018</v>
      </c>
      <c r="AB407">
        <v>2021</v>
      </c>
      <c r="AC407">
        <v>1</v>
      </c>
      <c r="AD407">
        <v>0</v>
      </c>
      <c r="AE407">
        <v>3</v>
      </c>
      <c r="AF407">
        <v>0</v>
      </c>
      <c r="AG407">
        <v>1</v>
      </c>
      <c r="AI407">
        <v>1</v>
      </c>
      <c r="AJ407">
        <v>1.56565248966217</v>
      </c>
      <c r="AK407">
        <v>1.975533723831177</v>
      </c>
      <c r="AL407">
        <v>1.53913E-2</v>
      </c>
      <c r="AM407">
        <f>VLOOKUP(D407,[1]Sheet1!$C$1:$D$191,2,FALSE)</f>
        <v>51</v>
      </c>
    </row>
    <row r="408" spans="1:39" x14ac:dyDescent="0.35">
      <c r="A408">
        <v>2020</v>
      </c>
      <c r="B408" t="s">
        <v>54</v>
      </c>
      <c r="C408">
        <v>51</v>
      </c>
      <c r="D408" t="s">
        <v>255</v>
      </c>
      <c r="E408">
        <v>38618325.831645198</v>
      </c>
      <c r="F408">
        <v>473027740</v>
      </c>
      <c r="G408">
        <v>511646065.83164519</v>
      </c>
      <c r="H408">
        <v>310097369914.17798</v>
      </c>
      <c r="I408">
        <v>344943149590.05798</v>
      </c>
      <c r="J408">
        <v>-6.544767573354128E-2</v>
      </c>
      <c r="K408">
        <v>41451.326014460399</v>
      </c>
      <c r="L408">
        <v>-6.2087234947178063E-2</v>
      </c>
      <c r="M408">
        <v>44195.289326428901</v>
      </c>
      <c r="N408">
        <v>0.25096202108080001</v>
      </c>
      <c r="O408">
        <v>350.67970504444799</v>
      </c>
      <c r="P408">
        <v>258.90284169963797</v>
      </c>
      <c r="R408">
        <v>7481000</v>
      </c>
      <c r="S408">
        <v>-3.5828926863703567E-3</v>
      </c>
      <c r="T408">
        <v>39.395000000000003</v>
      </c>
      <c r="U408">
        <v>5.57</v>
      </c>
      <c r="V408">
        <v>52.043671000000003</v>
      </c>
      <c r="W408">
        <v>1.2642869999999999</v>
      </c>
      <c r="X408">
        <v>58.830680000000001</v>
      </c>
      <c r="Y408">
        <v>92.4131</v>
      </c>
      <c r="Z408">
        <v>89.947903822441404</v>
      </c>
      <c r="AA408">
        <v>2018</v>
      </c>
      <c r="AB408">
        <v>2021</v>
      </c>
      <c r="AC408">
        <v>1</v>
      </c>
      <c r="AD408">
        <v>0</v>
      </c>
      <c r="AE408">
        <v>3</v>
      </c>
      <c r="AF408">
        <v>0</v>
      </c>
      <c r="AG408">
        <v>2</v>
      </c>
      <c r="AI408">
        <v>1</v>
      </c>
      <c r="AJ408">
        <v>1.5502363443374629</v>
      </c>
      <c r="AK408">
        <v>1.7842050790786741</v>
      </c>
      <c r="AL408">
        <v>9.4825049999999994E-2</v>
      </c>
      <c r="AM408">
        <f>VLOOKUP(D408,[1]Sheet1!$C$1:$D$191,2,FALSE)</f>
        <v>51</v>
      </c>
    </row>
    <row r="409" spans="1:39" x14ac:dyDescent="0.35">
      <c r="A409">
        <v>2013</v>
      </c>
      <c r="B409" t="s">
        <v>55</v>
      </c>
      <c r="C409">
        <v>52</v>
      </c>
      <c r="D409" t="s">
        <v>256</v>
      </c>
      <c r="E409">
        <v>2656.2539999999999</v>
      </c>
      <c r="G409">
        <v>2656.2539999999999</v>
      </c>
      <c r="H409">
        <v>115798616344.321</v>
      </c>
      <c r="I409">
        <v>135684315697.713</v>
      </c>
      <c r="J409">
        <v>1.8025221008225213E-2</v>
      </c>
      <c r="K409">
        <v>11705.0092523564</v>
      </c>
      <c r="L409">
        <v>2.0832407689696301E-2</v>
      </c>
      <c r="M409">
        <v>11466.1419094704</v>
      </c>
      <c r="N409">
        <v>1.7331998498310099</v>
      </c>
      <c r="O409">
        <v>164.346110357561</v>
      </c>
      <c r="P409">
        <v>46.083883438873698</v>
      </c>
      <c r="Q409">
        <v>46.932291197688699</v>
      </c>
      <c r="R409">
        <v>9893082</v>
      </c>
      <c r="S409">
        <v>-2.7498996508393543E-3</v>
      </c>
      <c r="T409">
        <v>27.713999999999999</v>
      </c>
      <c r="U409">
        <v>6.96</v>
      </c>
      <c r="V409">
        <v>57.118239000000003</v>
      </c>
      <c r="W409">
        <v>3.6378349999999999</v>
      </c>
      <c r="X409">
        <v>63.260280000000002</v>
      </c>
      <c r="Y409">
        <v>72.643900000000002</v>
      </c>
      <c r="Z409">
        <v>57.206680297851598</v>
      </c>
      <c r="AA409">
        <v>2018</v>
      </c>
      <c r="AB409">
        <v>2019</v>
      </c>
      <c r="AC409">
        <v>0</v>
      </c>
      <c r="AD409">
        <v>0</v>
      </c>
      <c r="AE409">
        <v>1</v>
      </c>
      <c r="AF409">
        <v>1</v>
      </c>
      <c r="AJ409">
        <v>0.58302003145217896</v>
      </c>
      <c r="AK409">
        <v>0.89994639158248901</v>
      </c>
      <c r="AL409">
        <v>0.15578624999999999</v>
      </c>
      <c r="AM409">
        <f>VLOOKUP(D409,[1]Sheet1!$C$1:$D$191,2,FALSE)</f>
        <v>52</v>
      </c>
    </row>
    <row r="410" spans="1:39" x14ac:dyDescent="0.35">
      <c r="A410">
        <v>2014</v>
      </c>
      <c r="B410" t="s">
        <v>55</v>
      </c>
      <c r="C410">
        <v>52</v>
      </c>
      <c r="D410" t="s">
        <v>256</v>
      </c>
      <c r="E410">
        <v>51148.404999999999</v>
      </c>
      <c r="G410">
        <v>51148.404999999999</v>
      </c>
      <c r="H410">
        <v>120699456740.623</v>
      </c>
      <c r="I410">
        <v>141033843265.66901</v>
      </c>
      <c r="J410">
        <v>4.2322098061427733E-2</v>
      </c>
      <c r="K410">
        <v>12233.299367172</v>
      </c>
      <c r="L410">
        <v>4.51336776781485E-2</v>
      </c>
      <c r="M410">
        <v>11705.0092523564</v>
      </c>
      <c r="N410">
        <v>-0.22756627098821899</v>
      </c>
      <c r="O410">
        <v>168.394596543722</v>
      </c>
      <c r="P410">
        <v>42.560632838452101</v>
      </c>
      <c r="Q410">
        <v>45.0215129127658</v>
      </c>
      <c r="R410">
        <v>9866468</v>
      </c>
      <c r="S410">
        <v>-2.6901626813565279E-3</v>
      </c>
      <c r="T410">
        <v>24.34</v>
      </c>
      <c r="U410">
        <v>6.9</v>
      </c>
      <c r="V410">
        <v>57.830567000000002</v>
      </c>
      <c r="W410">
        <v>3.1949369999999999</v>
      </c>
      <c r="X410">
        <v>70.190600000000003</v>
      </c>
      <c r="Y410">
        <v>75.653199999999998</v>
      </c>
      <c r="Z410">
        <v>52.816490173339801</v>
      </c>
      <c r="AA410">
        <v>2018</v>
      </c>
      <c r="AB410">
        <v>2019</v>
      </c>
      <c r="AC410">
        <v>0</v>
      </c>
      <c r="AD410">
        <v>0</v>
      </c>
      <c r="AE410">
        <v>1</v>
      </c>
      <c r="AF410">
        <v>1</v>
      </c>
      <c r="AJ410">
        <v>0.50920277833938599</v>
      </c>
      <c r="AK410">
        <v>0.74794626235961914</v>
      </c>
      <c r="AL410">
        <v>5.0713174999999999E-2</v>
      </c>
      <c r="AM410">
        <f>VLOOKUP(D410,[1]Sheet1!$C$1:$D$191,2,FALSE)</f>
        <v>52</v>
      </c>
    </row>
    <row r="411" spans="1:39" x14ac:dyDescent="0.35">
      <c r="A411">
        <v>2015</v>
      </c>
      <c r="B411" t="s">
        <v>55</v>
      </c>
      <c r="C411">
        <v>52</v>
      </c>
      <c r="D411" t="s">
        <v>256</v>
      </c>
      <c r="E411">
        <v>314976.47856700001</v>
      </c>
      <c r="G411">
        <v>314976.47856700001</v>
      </c>
      <c r="H411">
        <v>125174166987.37199</v>
      </c>
      <c r="I411">
        <v>125174166987.37199</v>
      </c>
      <c r="J411">
        <v>3.7073159793626229E-2</v>
      </c>
      <c r="K411">
        <v>12717.038597002</v>
      </c>
      <c r="L411">
        <v>3.9542826126540483E-2</v>
      </c>
      <c r="M411">
        <v>12233.299367172</v>
      </c>
      <c r="N411">
        <v>-6.16446800641672E-2</v>
      </c>
      <c r="O411">
        <v>167.32044503775799</v>
      </c>
      <c r="P411">
        <v>35.1172872877966</v>
      </c>
      <c r="Q411">
        <v>43.269791941493402</v>
      </c>
      <c r="R411">
        <v>9843028</v>
      </c>
      <c r="S411">
        <v>-2.3757235111896173E-3</v>
      </c>
      <c r="T411">
        <v>26.294</v>
      </c>
      <c r="U411">
        <v>6.84</v>
      </c>
      <c r="V411">
        <v>57.250779999999999</v>
      </c>
      <c r="W411">
        <v>2.9741590000000002</v>
      </c>
      <c r="X411">
        <v>86.723140000000001</v>
      </c>
      <c r="Y411">
        <v>72.834699999999998</v>
      </c>
      <c r="Z411">
        <v>50.065650939941399</v>
      </c>
      <c r="AA411">
        <v>2018</v>
      </c>
      <c r="AB411">
        <v>2019</v>
      </c>
      <c r="AC411">
        <v>0</v>
      </c>
      <c r="AD411">
        <v>0</v>
      </c>
      <c r="AE411">
        <v>1</v>
      </c>
      <c r="AF411">
        <v>1</v>
      </c>
      <c r="AJ411">
        <v>0.38202446699142462</v>
      </c>
      <c r="AK411">
        <v>0.75026142597198486</v>
      </c>
      <c r="AL411">
        <v>5.0873724999999988E-2</v>
      </c>
      <c r="AM411">
        <f>VLOOKUP(D411,[1]Sheet1!$C$1:$D$191,2,FALSE)</f>
        <v>52</v>
      </c>
    </row>
    <row r="412" spans="1:39" x14ac:dyDescent="0.35">
      <c r="A412">
        <v>2016</v>
      </c>
      <c r="B412" t="s">
        <v>55</v>
      </c>
      <c r="C412">
        <v>52</v>
      </c>
      <c r="D412" t="s">
        <v>256</v>
      </c>
      <c r="E412">
        <v>517720.4795492703</v>
      </c>
      <c r="G412">
        <v>517720.4795492703</v>
      </c>
      <c r="H412">
        <v>127929252772.23399</v>
      </c>
      <c r="I412">
        <v>128609822750.039</v>
      </c>
      <c r="J412">
        <v>2.2010018929384544E-2</v>
      </c>
      <c r="K412">
        <v>13035.352859090901</v>
      </c>
      <c r="L412">
        <v>2.5030533615266585E-2</v>
      </c>
      <c r="M412">
        <v>12717.038597002</v>
      </c>
      <c r="N412">
        <v>0.39476930668639199</v>
      </c>
      <c r="O412">
        <v>164.40392771872499</v>
      </c>
      <c r="P412">
        <v>33.415979256416499</v>
      </c>
      <c r="Q412">
        <v>43.5168402277084</v>
      </c>
      <c r="R412">
        <v>9814023</v>
      </c>
      <c r="S412">
        <v>-2.9467558153852655E-3</v>
      </c>
      <c r="T412">
        <v>27.484999999999999</v>
      </c>
      <c r="U412">
        <v>6.72</v>
      </c>
      <c r="V412">
        <v>59.438471999999997</v>
      </c>
      <c r="W412">
        <v>3.306047</v>
      </c>
      <c r="X412">
        <v>67.788839999999993</v>
      </c>
      <c r="Y412">
        <v>79.259399999999999</v>
      </c>
      <c r="Z412">
        <v>49.47705078125</v>
      </c>
      <c r="AA412">
        <v>2018</v>
      </c>
      <c r="AB412">
        <v>2019</v>
      </c>
      <c r="AC412">
        <v>0</v>
      </c>
      <c r="AD412">
        <v>0</v>
      </c>
      <c r="AE412">
        <v>1</v>
      </c>
      <c r="AF412">
        <v>1</v>
      </c>
      <c r="AJ412">
        <v>0.41362625360488892</v>
      </c>
      <c r="AK412">
        <v>0.59076905250549316</v>
      </c>
      <c r="AL412">
        <v>2.2815700000000001E-2</v>
      </c>
      <c r="AM412">
        <f>VLOOKUP(D412,[1]Sheet1!$C$1:$D$191,2,FALSE)</f>
        <v>52</v>
      </c>
    </row>
    <row r="413" spans="1:39" x14ac:dyDescent="0.35">
      <c r="A413">
        <v>2017</v>
      </c>
      <c r="B413" t="s">
        <v>55</v>
      </c>
      <c r="C413">
        <v>52</v>
      </c>
      <c r="D413" t="s">
        <v>256</v>
      </c>
      <c r="E413">
        <v>122659.1683466945</v>
      </c>
      <c r="G413">
        <v>122659.1683466945</v>
      </c>
      <c r="H413">
        <v>133394359768.37601</v>
      </c>
      <c r="I413">
        <v>143112196040.32599</v>
      </c>
      <c r="J413">
        <v>4.2719760162064906E-2</v>
      </c>
      <c r="K413">
        <v>13628.404488570601</v>
      </c>
      <c r="L413">
        <v>4.5495632982892636E-2</v>
      </c>
      <c r="M413">
        <v>13035.352859090901</v>
      </c>
      <c r="N413">
        <v>2.3482428115015401</v>
      </c>
      <c r="O413">
        <v>165.22851560863899</v>
      </c>
      <c r="P413">
        <v>32.441310330704297</v>
      </c>
      <c r="Q413">
        <v>42.081824109058097</v>
      </c>
      <c r="R413">
        <v>9787966</v>
      </c>
      <c r="S413">
        <v>-2.6550783506417296E-3</v>
      </c>
      <c r="T413">
        <v>28.198</v>
      </c>
      <c r="U413">
        <v>6.64</v>
      </c>
      <c r="V413">
        <v>60.933892999999998</v>
      </c>
      <c r="W413">
        <v>2.5688409999999999</v>
      </c>
      <c r="X413">
        <v>68.591380000000001</v>
      </c>
      <c r="Y413">
        <v>76.750500000000002</v>
      </c>
      <c r="Z413">
        <v>49.910270690917997</v>
      </c>
      <c r="AA413">
        <v>2018</v>
      </c>
      <c r="AB413">
        <v>2019</v>
      </c>
      <c r="AC413">
        <v>0</v>
      </c>
      <c r="AD413">
        <v>0</v>
      </c>
      <c r="AE413">
        <v>1</v>
      </c>
      <c r="AF413">
        <v>1</v>
      </c>
      <c r="AJ413">
        <v>0.53743231296539307</v>
      </c>
      <c r="AK413">
        <v>0.63702911138534546</v>
      </c>
      <c r="AL413">
        <v>3.9011150000000001E-2</v>
      </c>
      <c r="AM413">
        <f>VLOOKUP(D413,[1]Sheet1!$C$1:$D$191,2,FALSE)</f>
        <v>52</v>
      </c>
    </row>
    <row r="414" spans="1:39" x14ac:dyDescent="0.35">
      <c r="A414">
        <v>2018</v>
      </c>
      <c r="B414" t="s">
        <v>55</v>
      </c>
      <c r="C414">
        <v>52</v>
      </c>
      <c r="D414" t="s">
        <v>256</v>
      </c>
      <c r="E414">
        <v>558200.80134800007</v>
      </c>
      <c r="G414">
        <v>558200.80134800007</v>
      </c>
      <c r="H414">
        <v>140547430034.099</v>
      </c>
      <c r="I414">
        <v>160565642983.58701</v>
      </c>
      <c r="J414">
        <v>5.3623483617624292E-2</v>
      </c>
      <c r="K414">
        <v>14377.4241602939</v>
      </c>
      <c r="L414">
        <v>5.4960187918656304E-2</v>
      </c>
      <c r="M414">
        <v>13628.404488570601</v>
      </c>
      <c r="N414">
        <v>2.8502479259464599</v>
      </c>
      <c r="O414">
        <v>163.26051226285699</v>
      </c>
      <c r="P414">
        <v>32.389373842819602</v>
      </c>
      <c r="Q414">
        <v>39.8511407364145</v>
      </c>
      <c r="R414">
        <v>9775564</v>
      </c>
      <c r="S414">
        <v>-1.2670661095471726E-3</v>
      </c>
      <c r="T414">
        <v>28.518999999999998</v>
      </c>
      <c r="U414">
        <v>6.63</v>
      </c>
      <c r="V414">
        <v>60.561439</v>
      </c>
      <c r="W414">
        <v>2.47072</v>
      </c>
      <c r="X414">
        <v>63.29166</v>
      </c>
      <c r="Y414">
        <v>76.074399999999997</v>
      </c>
      <c r="Z414">
        <v>50.899890899658203</v>
      </c>
      <c r="AA414">
        <v>2018</v>
      </c>
      <c r="AB414">
        <v>2019</v>
      </c>
      <c r="AC414">
        <v>1</v>
      </c>
      <c r="AD414">
        <v>0</v>
      </c>
      <c r="AE414">
        <v>1</v>
      </c>
      <c r="AF414">
        <v>1</v>
      </c>
      <c r="AG414">
        <v>0</v>
      </c>
      <c r="AJ414">
        <v>0.5550696849822998</v>
      </c>
      <c r="AK414">
        <v>0.56364238262176514</v>
      </c>
      <c r="AL414">
        <v>1.4577774999999999E-2</v>
      </c>
      <c r="AM414">
        <f>VLOOKUP(D414,[1]Sheet1!$C$1:$D$191,2,FALSE)</f>
        <v>52</v>
      </c>
    </row>
    <row r="415" spans="1:39" x14ac:dyDescent="0.35">
      <c r="A415">
        <v>2019</v>
      </c>
      <c r="B415" t="s">
        <v>55</v>
      </c>
      <c r="C415">
        <v>52</v>
      </c>
      <c r="D415" t="s">
        <v>256</v>
      </c>
      <c r="E415">
        <v>448694.69740873988</v>
      </c>
      <c r="F415">
        <v>9180.621846</v>
      </c>
      <c r="G415">
        <v>457875.31925473997</v>
      </c>
      <c r="H415">
        <v>147383974295.866</v>
      </c>
      <c r="I415">
        <v>164020460331.659</v>
      </c>
      <c r="J415">
        <v>4.8642257351189884E-2</v>
      </c>
      <c r="K415">
        <v>15083.599171874201</v>
      </c>
      <c r="L415">
        <v>4.9116935252598484E-2</v>
      </c>
      <c r="M415">
        <v>14377.4241602939</v>
      </c>
      <c r="N415">
        <v>3.3385863538200802</v>
      </c>
      <c r="O415">
        <v>160.751343279331</v>
      </c>
      <c r="P415">
        <v>33.357405339707199</v>
      </c>
      <c r="Q415">
        <v>39.546055638033202</v>
      </c>
      <c r="R415">
        <v>9771141</v>
      </c>
      <c r="S415">
        <v>-4.5245471258742719E-4</v>
      </c>
      <c r="T415">
        <v>28.635000000000002</v>
      </c>
      <c r="U415">
        <v>6.63</v>
      </c>
      <c r="V415">
        <v>60.938772999999998</v>
      </c>
      <c r="W415">
        <v>2.2562850000000001</v>
      </c>
      <c r="X415">
        <v>62.428890000000003</v>
      </c>
      <c r="Y415">
        <v>80.371700000000004</v>
      </c>
      <c r="Z415">
        <v>52.361038208007798</v>
      </c>
      <c r="AA415">
        <v>2018</v>
      </c>
      <c r="AB415">
        <v>2019</v>
      </c>
      <c r="AC415">
        <v>1</v>
      </c>
      <c r="AD415">
        <v>1</v>
      </c>
      <c r="AE415">
        <v>1</v>
      </c>
      <c r="AF415">
        <v>1</v>
      </c>
      <c r="AG415">
        <v>1</v>
      </c>
      <c r="AH415">
        <v>0</v>
      </c>
      <c r="AI415">
        <v>1</v>
      </c>
      <c r="AJ415">
        <v>0.49868422746658331</v>
      </c>
      <c r="AK415">
        <v>0.59232217073440552</v>
      </c>
      <c r="AL415">
        <v>3.7013549999999999E-2</v>
      </c>
      <c r="AM415">
        <f>VLOOKUP(D415,[1]Sheet1!$C$1:$D$191,2,FALSE)</f>
        <v>52</v>
      </c>
    </row>
    <row r="416" spans="1:39" x14ac:dyDescent="0.35">
      <c r="A416">
        <v>2020</v>
      </c>
      <c r="B416" t="s">
        <v>55</v>
      </c>
      <c r="C416">
        <v>52</v>
      </c>
      <c r="D416" t="s">
        <v>256</v>
      </c>
      <c r="E416">
        <v>796214.60663736996</v>
      </c>
      <c r="G416">
        <v>796214.60663736996</v>
      </c>
      <c r="H416">
        <v>140770787502.349</v>
      </c>
      <c r="I416">
        <v>157288955508.17599</v>
      </c>
      <c r="J416">
        <v>-4.4870460476532918E-2</v>
      </c>
      <c r="K416">
        <v>14437.8088480852</v>
      </c>
      <c r="L416">
        <v>-4.2814073513248778E-2</v>
      </c>
      <c r="M416">
        <v>15083.599171874201</v>
      </c>
      <c r="N416">
        <v>3.3267438576673798</v>
      </c>
      <c r="O416">
        <v>155.42266389351201</v>
      </c>
      <c r="P416">
        <v>37.911796090509696</v>
      </c>
      <c r="Q416">
        <v>44.4272824801442</v>
      </c>
      <c r="R416">
        <v>9750149</v>
      </c>
      <c r="S416">
        <v>-2.1483673196405618E-3</v>
      </c>
      <c r="T416">
        <v>28.402000000000001</v>
      </c>
      <c r="U416">
        <v>6.56</v>
      </c>
      <c r="V416">
        <v>59.964388</v>
      </c>
      <c r="W416">
        <v>2.0683880000000001</v>
      </c>
      <c r="X416">
        <v>58.336480000000002</v>
      </c>
      <c r="Y416">
        <v>84.771199999999993</v>
      </c>
      <c r="Z416">
        <v>54.602039337158203</v>
      </c>
      <c r="AA416">
        <v>2018</v>
      </c>
      <c r="AB416">
        <v>2019</v>
      </c>
      <c r="AC416">
        <v>1</v>
      </c>
      <c r="AD416">
        <v>1</v>
      </c>
      <c r="AE416">
        <v>1</v>
      </c>
      <c r="AF416">
        <v>1</v>
      </c>
      <c r="AG416">
        <v>2</v>
      </c>
      <c r="AH416">
        <v>1</v>
      </c>
      <c r="AI416">
        <v>1</v>
      </c>
      <c r="AJ416">
        <v>0.49238580465316772</v>
      </c>
      <c r="AK416">
        <v>0.46936684846878052</v>
      </c>
      <c r="AL416">
        <v>6.0325425000000002E-2</v>
      </c>
      <c r="AM416">
        <f>VLOOKUP(D416,[1]Sheet1!$C$1:$D$191,2,FALSE)</f>
        <v>52</v>
      </c>
    </row>
    <row r="417" spans="1:39" x14ac:dyDescent="0.35">
      <c r="A417">
        <v>2013</v>
      </c>
      <c r="B417" t="s">
        <v>56</v>
      </c>
      <c r="C417">
        <v>53</v>
      </c>
      <c r="D417" t="s">
        <v>257</v>
      </c>
      <c r="E417">
        <v>1251799.81</v>
      </c>
      <c r="F417">
        <v>3839080</v>
      </c>
      <c r="G417">
        <v>5090879.8100000005</v>
      </c>
      <c r="H417">
        <v>1813453530766.6299</v>
      </c>
      <c r="I417">
        <v>1856721507621.5801</v>
      </c>
      <c r="J417">
        <v>6.3861064009482243E-2</v>
      </c>
      <c r="K417">
        <v>1399.4537980287</v>
      </c>
      <c r="L417">
        <v>4.9776999730259237E-2</v>
      </c>
      <c r="M417">
        <v>1333.09626557668</v>
      </c>
      <c r="N417">
        <v>10.0178784746102</v>
      </c>
      <c r="O417">
        <v>53.844131946677699</v>
      </c>
      <c r="P417">
        <v>52.385709516972</v>
      </c>
      <c r="Q417">
        <v>16.638682548696501</v>
      </c>
      <c r="R417">
        <v>1295829511</v>
      </c>
      <c r="S417">
        <v>1.341624390974209E-2</v>
      </c>
      <c r="U417">
        <v>7.69</v>
      </c>
      <c r="V417">
        <v>12.816261000000001</v>
      </c>
      <c r="W417">
        <v>3.0106060000000001</v>
      </c>
      <c r="X417">
        <v>29.21181</v>
      </c>
      <c r="Y417">
        <v>12.3</v>
      </c>
      <c r="Z417">
        <v>24.163832851158698</v>
      </c>
      <c r="AA417">
        <v>2019</v>
      </c>
      <c r="AB417">
        <v>2021</v>
      </c>
      <c r="AC417">
        <v>0</v>
      </c>
      <c r="AD417">
        <v>0</v>
      </c>
      <c r="AE417">
        <v>2</v>
      </c>
      <c r="AF417">
        <v>1</v>
      </c>
      <c r="AJ417">
        <v>-4.589259997010231E-2</v>
      </c>
      <c r="AK417">
        <v>-0.47809478640556341</v>
      </c>
      <c r="AL417">
        <v>4.0512449999999998E-2</v>
      </c>
      <c r="AM417">
        <f>VLOOKUP(D417,[1]Sheet1!$C$1:$D$191,2,FALSE)</f>
        <v>53</v>
      </c>
    </row>
    <row r="418" spans="1:39" x14ac:dyDescent="0.35">
      <c r="A418">
        <v>2014</v>
      </c>
      <c r="B418" t="s">
        <v>56</v>
      </c>
      <c r="C418">
        <v>53</v>
      </c>
      <c r="D418" t="s">
        <v>257</v>
      </c>
      <c r="E418">
        <v>6963290.0800000001</v>
      </c>
      <c r="F418">
        <v>5112221</v>
      </c>
      <c r="G418">
        <v>12075511.08</v>
      </c>
      <c r="H418">
        <v>1947834564908.95</v>
      </c>
      <c r="I418">
        <v>2039126479154.52</v>
      </c>
      <c r="J418">
        <v>7.4102276050884555E-2</v>
      </c>
      <c r="K418">
        <v>1484.3164068291301</v>
      </c>
      <c r="L418">
        <v>6.063980741627148E-2</v>
      </c>
      <c r="M418">
        <v>1399.4537980287</v>
      </c>
      <c r="N418">
        <v>6.6656567186789903</v>
      </c>
      <c r="O418">
        <v>48.922185747066898</v>
      </c>
      <c r="P418">
        <v>51.882187358962803</v>
      </c>
      <c r="Q418">
        <v>14.803137644208</v>
      </c>
      <c r="R418">
        <v>1312277191</v>
      </c>
      <c r="S418">
        <v>1.269278084839048E-2</v>
      </c>
      <c r="U418">
        <v>7.92</v>
      </c>
      <c r="V418">
        <v>17.726154000000001</v>
      </c>
      <c r="W418">
        <v>2.8501889999999999</v>
      </c>
      <c r="X418">
        <v>29.345490000000002</v>
      </c>
      <c r="Y418">
        <v>13.5</v>
      </c>
      <c r="Z418">
        <v>25.753611306369301</v>
      </c>
      <c r="AA418">
        <v>2019</v>
      </c>
      <c r="AB418">
        <v>2021</v>
      </c>
      <c r="AC418">
        <v>0</v>
      </c>
      <c r="AD418">
        <v>0</v>
      </c>
      <c r="AE418">
        <v>2</v>
      </c>
      <c r="AF418">
        <v>1</v>
      </c>
      <c r="AJ418">
        <v>-6.9189384579658508E-2</v>
      </c>
      <c r="AK418">
        <v>-0.47507643699646002</v>
      </c>
      <c r="AL418">
        <v>5.5120099999999991E-2</v>
      </c>
      <c r="AM418">
        <f>VLOOKUP(D418,[1]Sheet1!$C$1:$D$191,2,FALSE)</f>
        <v>53</v>
      </c>
    </row>
    <row r="419" spans="1:39" x14ac:dyDescent="0.35">
      <c r="A419">
        <v>2015</v>
      </c>
      <c r="B419" t="s">
        <v>56</v>
      </c>
      <c r="C419">
        <v>53</v>
      </c>
      <c r="D419" t="s">
        <v>257</v>
      </c>
      <c r="E419">
        <v>20135553.079999998</v>
      </c>
      <c r="F419">
        <v>19773092</v>
      </c>
      <c r="G419">
        <v>39908645.079999998</v>
      </c>
      <c r="H419">
        <v>2103588360044.9399</v>
      </c>
      <c r="I419">
        <v>2103588360044.9399</v>
      </c>
      <c r="J419">
        <v>7.9962537857146299E-2</v>
      </c>
      <c r="K419">
        <v>1583.99815907985</v>
      </c>
      <c r="L419">
        <v>6.7156673464025762E-2</v>
      </c>
      <c r="M419">
        <v>1484.3164068291301</v>
      </c>
      <c r="N419">
        <v>4.9069734412725596</v>
      </c>
      <c r="O419">
        <v>41.9229138658647</v>
      </c>
      <c r="P419">
        <v>51.867524077204898</v>
      </c>
      <c r="Q419">
        <v>15.1256903622794</v>
      </c>
      <c r="R419">
        <v>1328024498</v>
      </c>
      <c r="S419">
        <v>1.1999985298837675E-2</v>
      </c>
      <c r="U419">
        <v>7.74</v>
      </c>
      <c r="V419">
        <v>19.640879000000002</v>
      </c>
      <c r="W419">
        <v>2.777501</v>
      </c>
      <c r="X419">
        <v>29.616980000000002</v>
      </c>
      <c r="Y419">
        <v>14.9</v>
      </c>
      <c r="Z419">
        <v>27.064641147156902</v>
      </c>
      <c r="AA419">
        <v>2019</v>
      </c>
      <c r="AB419">
        <v>2021</v>
      </c>
      <c r="AC419">
        <v>0</v>
      </c>
      <c r="AD419">
        <v>0</v>
      </c>
      <c r="AE419">
        <v>2</v>
      </c>
      <c r="AF419">
        <v>1</v>
      </c>
      <c r="AJ419">
        <v>-7.0721104741096497E-2</v>
      </c>
      <c r="AK419">
        <v>-0.42495670914649958</v>
      </c>
      <c r="AL419">
        <v>7.6334824999999995E-2</v>
      </c>
      <c r="AM419">
        <f>VLOOKUP(D419,[1]Sheet1!$C$1:$D$191,2,FALSE)</f>
        <v>53</v>
      </c>
    </row>
    <row r="420" spans="1:39" x14ac:dyDescent="0.35">
      <c r="A420">
        <v>2016</v>
      </c>
      <c r="B420" t="s">
        <v>56</v>
      </c>
      <c r="C420">
        <v>53</v>
      </c>
      <c r="D420" t="s">
        <v>257</v>
      </c>
      <c r="E420">
        <v>33723673.3159343</v>
      </c>
      <c r="F420">
        <v>90440000</v>
      </c>
      <c r="G420">
        <v>124163673.3159343</v>
      </c>
      <c r="H420">
        <v>2277267041550.3599</v>
      </c>
      <c r="I420">
        <v>2294796885663.1602</v>
      </c>
      <c r="J420">
        <v>8.256305501790738E-2</v>
      </c>
      <c r="K420">
        <v>1694.4653497382501</v>
      </c>
      <c r="L420">
        <v>6.9739469092925513E-2</v>
      </c>
      <c r="M420">
        <v>1583.99815907985</v>
      </c>
      <c r="N420">
        <v>4.9482163406214097</v>
      </c>
      <c r="O420">
        <v>40.082485713276</v>
      </c>
      <c r="P420">
        <v>49.101225419144903</v>
      </c>
      <c r="Q420">
        <v>15.2719500252316</v>
      </c>
      <c r="R420">
        <v>1343944296</v>
      </c>
      <c r="S420">
        <v>1.1987578560467189E-2</v>
      </c>
      <c r="U420">
        <v>7.81</v>
      </c>
      <c r="V420">
        <v>21.168147999999999</v>
      </c>
      <c r="W420">
        <v>2.8050269999999999</v>
      </c>
      <c r="X420">
        <v>32.551909999999999</v>
      </c>
      <c r="Y420">
        <v>16.5</v>
      </c>
      <c r="Z420">
        <v>27.0875990028504</v>
      </c>
      <c r="AA420">
        <v>2019</v>
      </c>
      <c r="AB420">
        <v>2021</v>
      </c>
      <c r="AC420">
        <v>0</v>
      </c>
      <c r="AD420">
        <v>0</v>
      </c>
      <c r="AE420">
        <v>2</v>
      </c>
      <c r="AF420">
        <v>1</v>
      </c>
      <c r="AJ420">
        <v>-5.6153856217861182E-2</v>
      </c>
      <c r="AK420">
        <v>-0.31153193116188049</v>
      </c>
      <c r="AL420">
        <v>6.3836950000000003E-2</v>
      </c>
      <c r="AM420">
        <f>VLOOKUP(D420,[1]Sheet1!$C$1:$D$191,2,FALSE)</f>
        <v>53</v>
      </c>
    </row>
    <row r="421" spans="1:39" x14ac:dyDescent="0.35">
      <c r="A421">
        <v>2017</v>
      </c>
      <c r="B421" t="s">
        <v>56</v>
      </c>
      <c r="C421">
        <v>53</v>
      </c>
      <c r="D421" t="s">
        <v>257</v>
      </c>
      <c r="E421">
        <v>39094810</v>
      </c>
      <c r="F421">
        <v>227306020</v>
      </c>
      <c r="G421">
        <v>268579820</v>
      </c>
      <c r="H421">
        <v>2432016068497.75</v>
      </c>
      <c r="I421">
        <v>2651474262755.4502</v>
      </c>
      <c r="J421">
        <v>6.7953834189791479E-2</v>
      </c>
      <c r="K421">
        <v>1788.6977031844599</v>
      </c>
      <c r="L421">
        <v>5.5611850346049388E-2</v>
      </c>
      <c r="M421">
        <v>1694.4653497382501</v>
      </c>
      <c r="N421">
        <v>3.3281733746129798</v>
      </c>
      <c r="O421">
        <v>40.742496954522501</v>
      </c>
      <c r="P421">
        <v>48.794021399070601</v>
      </c>
      <c r="Q421">
        <v>15.614109922098301</v>
      </c>
      <c r="R421">
        <v>1359657400</v>
      </c>
      <c r="S421">
        <v>1.1691782201663514E-2</v>
      </c>
      <c r="U421">
        <v>7.23</v>
      </c>
      <c r="V421">
        <v>21.997046000000001</v>
      </c>
      <c r="W421">
        <v>2.874403</v>
      </c>
      <c r="X421">
        <v>36.001890000000003</v>
      </c>
      <c r="Y421">
        <v>18.2</v>
      </c>
      <c r="Z421">
        <v>27.731108915662499</v>
      </c>
      <c r="AA421">
        <v>2019</v>
      </c>
      <c r="AB421">
        <v>2021</v>
      </c>
      <c r="AC421">
        <v>0</v>
      </c>
      <c r="AD421">
        <v>0</v>
      </c>
      <c r="AE421">
        <v>2</v>
      </c>
      <c r="AF421">
        <v>1</v>
      </c>
      <c r="AJ421">
        <v>-2.9750088229775429E-2</v>
      </c>
      <c r="AK421">
        <v>-0.25666129589080811</v>
      </c>
      <c r="AL421">
        <v>4.75767E-2</v>
      </c>
      <c r="AM421">
        <f>VLOOKUP(D421,[1]Sheet1!$C$1:$D$191,2,FALSE)</f>
        <v>53</v>
      </c>
    </row>
    <row r="422" spans="1:39" x14ac:dyDescent="0.35">
      <c r="A422">
        <v>2018</v>
      </c>
      <c r="B422" t="s">
        <v>56</v>
      </c>
      <c r="C422">
        <v>53</v>
      </c>
      <c r="D422" t="s">
        <v>257</v>
      </c>
      <c r="E422">
        <v>48122993.518542998</v>
      </c>
      <c r="F422">
        <v>499290538.045156</v>
      </c>
      <c r="G422">
        <v>547413531.56369901</v>
      </c>
      <c r="H422">
        <v>2588974770244.5698</v>
      </c>
      <c r="I422">
        <v>2702929641648.7402</v>
      </c>
      <c r="J422">
        <v>6.4538513449778651E-2</v>
      </c>
      <c r="K422">
        <v>1883.35772705062</v>
      </c>
      <c r="L422">
        <v>5.2921197191473278E-2</v>
      </c>
      <c r="M422">
        <v>1788.6977031844599</v>
      </c>
      <c r="N422">
        <v>3.9388264669163</v>
      </c>
      <c r="O422">
        <v>43.616969332388898</v>
      </c>
      <c r="P422">
        <v>50.338162746306203</v>
      </c>
      <c r="Q422">
        <v>15.6631319151388</v>
      </c>
      <c r="R422">
        <v>1374659064</v>
      </c>
      <c r="S422">
        <v>1.1033414741095808E-2</v>
      </c>
      <c r="T422">
        <v>48.506</v>
      </c>
      <c r="U422">
        <v>7.23</v>
      </c>
      <c r="V422">
        <v>21.653116000000001</v>
      </c>
      <c r="W422">
        <v>2.9244620000000001</v>
      </c>
      <c r="X422">
        <v>36.749980000000001</v>
      </c>
      <c r="Y422">
        <v>20.081299999999999</v>
      </c>
      <c r="Z422">
        <v>28.354073787803799</v>
      </c>
      <c r="AA422">
        <v>2019</v>
      </c>
      <c r="AB422">
        <v>2021</v>
      </c>
      <c r="AC422">
        <v>0</v>
      </c>
      <c r="AD422">
        <v>0</v>
      </c>
      <c r="AE422">
        <v>2</v>
      </c>
      <c r="AF422">
        <v>1</v>
      </c>
      <c r="AJ422">
        <v>-1.4220889424905181E-3</v>
      </c>
      <c r="AK422">
        <v>-0.22599673271179199</v>
      </c>
      <c r="AL422">
        <v>2.5627674999999999E-2</v>
      </c>
      <c r="AM422">
        <f>VLOOKUP(D422,[1]Sheet1!$C$1:$D$191,2,FALSE)</f>
        <v>53</v>
      </c>
    </row>
    <row r="423" spans="1:39" x14ac:dyDescent="0.35">
      <c r="A423">
        <v>2019</v>
      </c>
      <c r="B423" t="s">
        <v>56</v>
      </c>
      <c r="C423">
        <v>53</v>
      </c>
      <c r="D423" t="s">
        <v>257</v>
      </c>
      <c r="E423">
        <v>44785758.621523023</v>
      </c>
      <c r="F423">
        <v>3304779767.5535259</v>
      </c>
      <c r="G423">
        <v>3349565526.1750484</v>
      </c>
      <c r="H423">
        <v>2689205295885.3101</v>
      </c>
      <c r="I423">
        <v>2835606256558.1899</v>
      </c>
      <c r="J423">
        <v>3.8714369407034377E-2</v>
      </c>
      <c r="K423">
        <v>1936.03067741067</v>
      </c>
      <c r="L423">
        <v>2.7967575996588279E-2</v>
      </c>
      <c r="M423">
        <v>1883.35772705062</v>
      </c>
      <c r="N423">
        <v>3.7295057353912902</v>
      </c>
      <c r="O423">
        <v>39.9054035306442</v>
      </c>
      <c r="P423">
        <v>50.742461740643897</v>
      </c>
      <c r="R423">
        <v>1389030312</v>
      </c>
      <c r="S423">
        <v>1.0454408934083163E-2</v>
      </c>
      <c r="T423">
        <v>49.771999999999998</v>
      </c>
      <c r="U423">
        <v>6.9</v>
      </c>
      <c r="V423">
        <v>20.953005000000001</v>
      </c>
      <c r="W423">
        <v>2.9619680000000002</v>
      </c>
      <c r="X423">
        <v>41.284950000000002</v>
      </c>
      <c r="Y423">
        <v>29.523499999999999</v>
      </c>
      <c r="Z423">
        <v>28.799694967450499</v>
      </c>
      <c r="AA423">
        <v>2019</v>
      </c>
      <c r="AB423">
        <v>2021</v>
      </c>
      <c r="AC423">
        <v>1</v>
      </c>
      <c r="AD423">
        <v>0</v>
      </c>
      <c r="AE423">
        <v>2</v>
      </c>
      <c r="AF423">
        <v>1</v>
      </c>
      <c r="AG423">
        <v>0</v>
      </c>
      <c r="AI423">
        <v>1</v>
      </c>
      <c r="AJ423">
        <v>-6.7227154970169067E-2</v>
      </c>
      <c r="AK423">
        <v>-0.15056544542312619</v>
      </c>
      <c r="AL423">
        <v>5.9690075000000002E-2</v>
      </c>
      <c r="AM423">
        <f>VLOOKUP(D423,[1]Sheet1!$C$1:$D$191,2,FALSE)</f>
        <v>53</v>
      </c>
    </row>
    <row r="424" spans="1:39" x14ac:dyDescent="0.35">
      <c r="A424">
        <v>2020</v>
      </c>
      <c r="B424" t="s">
        <v>56</v>
      </c>
      <c r="C424">
        <v>53</v>
      </c>
      <c r="D424" t="s">
        <v>257</v>
      </c>
      <c r="E424">
        <v>115221771.182669</v>
      </c>
      <c r="F424">
        <v>2248433728.8407769</v>
      </c>
      <c r="G424">
        <v>2363655500.0234466</v>
      </c>
      <c r="H424">
        <v>2533830417086.54</v>
      </c>
      <c r="I424">
        <v>2674851578587.27</v>
      </c>
      <c r="J424">
        <v>-5.7777247068680655E-2</v>
      </c>
      <c r="K424">
        <v>1806.5011058387799</v>
      </c>
      <c r="L424">
        <v>-6.6904710283376523E-2</v>
      </c>
      <c r="M424">
        <v>1936.03067741067</v>
      </c>
      <c r="N424">
        <v>6.6234367762853497</v>
      </c>
      <c r="O424">
        <v>37.758105329276802</v>
      </c>
      <c r="P424">
        <v>54.505290246038697</v>
      </c>
      <c r="R424">
        <v>1402617695</v>
      </c>
      <c r="S424">
        <v>9.7819197195460478E-3</v>
      </c>
      <c r="T424">
        <v>51.021000000000001</v>
      </c>
      <c r="U424">
        <v>6.61</v>
      </c>
      <c r="V424">
        <v>21.496549000000002</v>
      </c>
      <c r="W424">
        <v>3.4595660000000001</v>
      </c>
      <c r="X424">
        <v>39.40699</v>
      </c>
      <c r="Y424">
        <v>43.4054</v>
      </c>
      <c r="Z424">
        <v>29.561970611482401</v>
      </c>
      <c r="AA424">
        <v>2019</v>
      </c>
      <c r="AB424">
        <v>2021</v>
      </c>
      <c r="AC424">
        <v>1</v>
      </c>
      <c r="AD424">
        <v>0</v>
      </c>
      <c r="AE424">
        <v>2</v>
      </c>
      <c r="AF424">
        <v>1</v>
      </c>
      <c r="AG424">
        <v>1</v>
      </c>
      <c r="AI424">
        <v>1</v>
      </c>
      <c r="AJ424">
        <v>-5.8424744755029678E-2</v>
      </c>
      <c r="AK424">
        <v>-0.12848867475986481</v>
      </c>
      <c r="AL424">
        <v>6.1708399999999997E-2</v>
      </c>
      <c r="AM424">
        <f>VLOOKUP(D424,[1]Sheet1!$C$1:$D$191,2,FALSE)</f>
        <v>53</v>
      </c>
    </row>
    <row r="425" spans="1:39" x14ac:dyDescent="0.35">
      <c r="A425">
        <v>2013</v>
      </c>
      <c r="B425" t="s">
        <v>57</v>
      </c>
      <c r="C425">
        <v>54</v>
      </c>
      <c r="D425" t="s">
        <v>258</v>
      </c>
      <c r="E425">
        <v>1321321</v>
      </c>
      <c r="F425">
        <v>500000</v>
      </c>
      <c r="G425">
        <v>1821321</v>
      </c>
      <c r="H425">
        <v>781691320719.30603</v>
      </c>
      <c r="I425">
        <v>912524136718.01794</v>
      </c>
      <c r="J425">
        <v>5.5572636889100566E-2</v>
      </c>
      <c r="K425">
        <v>3055.2424601765001</v>
      </c>
      <c r="L425">
        <v>4.2560392322645538E-2</v>
      </c>
      <c r="M425">
        <v>2930.5184454302398</v>
      </c>
      <c r="N425">
        <v>6.4125133015641804</v>
      </c>
      <c r="O425">
        <v>48.637372675289299</v>
      </c>
      <c r="P425">
        <v>36.058139607045597</v>
      </c>
      <c r="Q425">
        <v>15.3750198771566</v>
      </c>
      <c r="R425">
        <v>255852467</v>
      </c>
      <c r="S425">
        <v>1.2481046337725952E-2</v>
      </c>
      <c r="T425">
        <v>62.44</v>
      </c>
      <c r="U425">
        <v>6.82</v>
      </c>
      <c r="V425">
        <v>42.016621000000001</v>
      </c>
      <c r="W425">
        <v>5.2316549999999999</v>
      </c>
      <c r="X425">
        <v>38.40766</v>
      </c>
      <c r="Y425">
        <v>14.94</v>
      </c>
      <c r="Z425">
        <v>29.894529174264999</v>
      </c>
      <c r="AA425">
        <v>2019</v>
      </c>
      <c r="AB425">
        <v>2021</v>
      </c>
      <c r="AC425">
        <v>0</v>
      </c>
      <c r="AD425">
        <v>0</v>
      </c>
      <c r="AE425">
        <v>2</v>
      </c>
      <c r="AF425">
        <v>1</v>
      </c>
      <c r="AJ425">
        <v>-0.53351658582687378</v>
      </c>
      <c r="AK425">
        <v>-0.12326587736606601</v>
      </c>
      <c r="AL425">
        <v>3.4477349999999997E-2</v>
      </c>
      <c r="AM425">
        <f>VLOOKUP(D425,[1]Sheet1!$C$1:$D$191,2,FALSE)</f>
        <v>54</v>
      </c>
    </row>
    <row r="426" spans="1:39" x14ac:dyDescent="0.35">
      <c r="A426">
        <v>2014</v>
      </c>
      <c r="B426" t="s">
        <v>57</v>
      </c>
      <c r="C426">
        <v>54</v>
      </c>
      <c r="D426" t="s">
        <v>258</v>
      </c>
      <c r="E426">
        <v>1627356.52</v>
      </c>
      <c r="F426">
        <v>1000000</v>
      </c>
      <c r="G426">
        <v>2627356.52</v>
      </c>
      <c r="H426">
        <v>820828013260.62695</v>
      </c>
      <c r="I426">
        <v>890814755511.01404</v>
      </c>
      <c r="J426">
        <v>5.0066684257550224E-2</v>
      </c>
      <c r="K426">
        <v>3170.7210302303301</v>
      </c>
      <c r="L426">
        <v>3.7796859515744907E-2</v>
      </c>
      <c r="M426">
        <v>3055.2424601765001</v>
      </c>
      <c r="N426">
        <v>6.39492540819922</v>
      </c>
      <c r="O426">
        <v>48.080175585522703</v>
      </c>
      <c r="P426">
        <v>36.423545155209602</v>
      </c>
      <c r="Q426">
        <v>15.9053658966348</v>
      </c>
      <c r="R426">
        <v>258877399</v>
      </c>
      <c r="S426">
        <v>1.1822954202743725E-2</v>
      </c>
      <c r="T426">
        <v>61.997</v>
      </c>
      <c r="U426">
        <v>6.95</v>
      </c>
      <c r="V426">
        <v>49.205441999999998</v>
      </c>
      <c r="W426">
        <v>5.6786599999999998</v>
      </c>
      <c r="X426">
        <v>40.335639999999998</v>
      </c>
      <c r="Y426">
        <v>17.1432</v>
      </c>
      <c r="Z426">
        <v>29.9904910473273</v>
      </c>
      <c r="AA426">
        <v>2019</v>
      </c>
      <c r="AB426">
        <v>2021</v>
      </c>
      <c r="AC426">
        <v>0</v>
      </c>
      <c r="AD426">
        <v>0</v>
      </c>
      <c r="AE426">
        <v>2</v>
      </c>
      <c r="AF426">
        <v>1</v>
      </c>
      <c r="AJ426">
        <v>-0.31091845035552979</v>
      </c>
      <c r="AK426">
        <v>-8.3587504923343658E-3</v>
      </c>
      <c r="AL426">
        <v>5.1680100000000007E-2</v>
      </c>
      <c r="AM426">
        <f>VLOOKUP(D426,[1]Sheet1!$C$1:$D$191,2,FALSE)</f>
        <v>54</v>
      </c>
    </row>
    <row r="427" spans="1:39" x14ac:dyDescent="0.35">
      <c r="A427">
        <v>2015</v>
      </c>
      <c r="B427" t="s">
        <v>57</v>
      </c>
      <c r="C427">
        <v>54</v>
      </c>
      <c r="D427" t="s">
        <v>258</v>
      </c>
      <c r="E427">
        <v>2153868.7999999998</v>
      </c>
      <c r="F427">
        <v>110000</v>
      </c>
      <c r="G427">
        <v>2263868.7999999998</v>
      </c>
      <c r="H427">
        <v>860854232717.71802</v>
      </c>
      <c r="I427">
        <v>860854232717.71802</v>
      </c>
      <c r="J427">
        <v>4.8763223002212593E-2</v>
      </c>
      <c r="K427">
        <v>3288.2226973757201</v>
      </c>
      <c r="L427">
        <v>3.7058342889552266E-2</v>
      </c>
      <c r="M427">
        <v>3170.7210302303301</v>
      </c>
      <c r="N427">
        <v>6.3631211311561202</v>
      </c>
      <c r="O427">
        <v>41.937640241529401</v>
      </c>
      <c r="P427">
        <v>39.118798295511901</v>
      </c>
      <c r="Q427">
        <v>14.501318293736301</v>
      </c>
      <c r="R427">
        <v>261799249</v>
      </c>
      <c r="S427">
        <v>1.1286616797320341E-2</v>
      </c>
      <c r="T427">
        <v>61.710999999999999</v>
      </c>
      <c r="U427">
        <v>7.03</v>
      </c>
      <c r="V427">
        <v>52.965375000000002</v>
      </c>
      <c r="W427">
        <v>6.0063709999999997</v>
      </c>
      <c r="X427">
        <v>39.814250000000001</v>
      </c>
      <c r="Y427">
        <v>22.0627</v>
      </c>
      <c r="Z427">
        <v>32.459020043375801</v>
      </c>
      <c r="AA427">
        <v>2019</v>
      </c>
      <c r="AB427">
        <v>2021</v>
      </c>
      <c r="AC427">
        <v>0</v>
      </c>
      <c r="AD427">
        <v>0</v>
      </c>
      <c r="AE427">
        <v>2</v>
      </c>
      <c r="AF427">
        <v>1</v>
      </c>
      <c r="AJ427">
        <v>-0.42454946041107178</v>
      </c>
      <c r="AK427">
        <v>-0.15822747349739069</v>
      </c>
      <c r="AL427">
        <v>3.3246949999999997E-2</v>
      </c>
      <c r="AM427">
        <f>VLOOKUP(D427,[1]Sheet1!$C$1:$D$191,2,FALSE)</f>
        <v>54</v>
      </c>
    </row>
    <row r="428" spans="1:39" x14ac:dyDescent="0.35">
      <c r="A428">
        <v>2016</v>
      </c>
      <c r="B428" t="s">
        <v>57</v>
      </c>
      <c r="C428">
        <v>54</v>
      </c>
      <c r="D428" t="s">
        <v>258</v>
      </c>
      <c r="E428">
        <v>6624076.3500687853</v>
      </c>
      <c r="F428">
        <v>28726839</v>
      </c>
      <c r="G428">
        <v>35350915.350068785</v>
      </c>
      <c r="H428">
        <v>904181621813.47803</v>
      </c>
      <c r="I428">
        <v>931877364034.19604</v>
      </c>
      <c r="J428">
        <v>5.0330691828017596E-2</v>
      </c>
      <c r="K428">
        <v>3416.8100518347601</v>
      </c>
      <c r="L428">
        <v>3.9105427549558466E-2</v>
      </c>
      <c r="M428">
        <v>3288.2226973757201</v>
      </c>
      <c r="N428">
        <v>3.5258051568792999</v>
      </c>
      <c r="O428">
        <v>37.421341802331803</v>
      </c>
      <c r="P428">
        <v>39.402424693941299</v>
      </c>
      <c r="Q428">
        <v>14.872984207767599</v>
      </c>
      <c r="R428">
        <v>264627418</v>
      </c>
      <c r="S428">
        <v>1.0802815557350968E-2</v>
      </c>
      <c r="T428">
        <v>61.232999999999997</v>
      </c>
      <c r="U428">
        <v>6.97</v>
      </c>
      <c r="V428">
        <v>54.337373999999997</v>
      </c>
      <c r="W428">
        <v>6.4007050000000003</v>
      </c>
      <c r="X428">
        <v>40.009819999999998</v>
      </c>
      <c r="Y428">
        <v>25.447399999999998</v>
      </c>
      <c r="Z428">
        <v>34.830717341087698</v>
      </c>
      <c r="AA428">
        <v>2019</v>
      </c>
      <c r="AB428">
        <v>2021</v>
      </c>
      <c r="AC428">
        <v>0</v>
      </c>
      <c r="AD428">
        <v>0</v>
      </c>
      <c r="AE428">
        <v>2</v>
      </c>
      <c r="AF428">
        <v>1</v>
      </c>
      <c r="AJ428">
        <v>-0.33899450302124018</v>
      </c>
      <c r="AK428">
        <v>-3.137579932808876E-2</v>
      </c>
      <c r="AL428">
        <v>4.2462300000000001E-2</v>
      </c>
      <c r="AM428">
        <f>VLOOKUP(D428,[1]Sheet1!$C$1:$D$191,2,FALSE)</f>
        <v>54</v>
      </c>
    </row>
    <row r="429" spans="1:39" x14ac:dyDescent="0.35">
      <c r="A429">
        <v>2017</v>
      </c>
      <c r="B429" t="s">
        <v>57</v>
      </c>
      <c r="C429">
        <v>54</v>
      </c>
      <c r="D429" t="s">
        <v>258</v>
      </c>
      <c r="E429">
        <v>18627847</v>
      </c>
      <c r="F429">
        <v>58486975</v>
      </c>
      <c r="G429">
        <v>77114822</v>
      </c>
      <c r="H429">
        <v>950021694198.76794</v>
      </c>
      <c r="I429">
        <v>1015618744168.08</v>
      </c>
      <c r="J429">
        <v>5.0697859013491629E-2</v>
      </c>
      <c r="K429">
        <v>3553.5199927532599</v>
      </c>
      <c r="L429">
        <v>4.0010986517991905E-2</v>
      </c>
      <c r="M429">
        <v>3416.8100518347601</v>
      </c>
      <c r="N429">
        <v>3.8087980695315702</v>
      </c>
      <c r="O429">
        <v>39.355497070460601</v>
      </c>
      <c r="P429">
        <v>38.732349561304098</v>
      </c>
      <c r="Q429">
        <v>14.299029098990699</v>
      </c>
      <c r="R429">
        <v>267346658</v>
      </c>
      <c r="S429">
        <v>1.027573038557932E-2</v>
      </c>
      <c r="T429">
        <v>61.633000000000003</v>
      </c>
      <c r="U429">
        <v>6.39</v>
      </c>
      <c r="V429">
        <v>55.140506999999999</v>
      </c>
      <c r="W429">
        <v>5.8134680000000003</v>
      </c>
      <c r="X429">
        <v>40.44444</v>
      </c>
      <c r="Y429">
        <v>32.335799999999999</v>
      </c>
      <c r="Z429">
        <v>35.967012362631003</v>
      </c>
      <c r="AA429">
        <v>2019</v>
      </c>
      <c r="AB429">
        <v>2021</v>
      </c>
      <c r="AC429">
        <v>0</v>
      </c>
      <c r="AD429">
        <v>0</v>
      </c>
      <c r="AE429">
        <v>2</v>
      </c>
      <c r="AF429">
        <v>1</v>
      </c>
      <c r="AI429">
        <v>1</v>
      </c>
      <c r="AJ429">
        <v>-0.35139745473861689</v>
      </c>
      <c r="AK429">
        <v>2.7927501127123829E-2</v>
      </c>
      <c r="AL429">
        <v>1.6109249999999999E-2</v>
      </c>
      <c r="AM429">
        <f>VLOOKUP(D429,[1]Sheet1!$C$1:$D$191,2,FALSE)</f>
        <v>54</v>
      </c>
    </row>
    <row r="430" spans="1:39" x14ac:dyDescent="0.35">
      <c r="A430">
        <v>2018</v>
      </c>
      <c r="B430" t="s">
        <v>57</v>
      </c>
      <c r="C430">
        <v>54</v>
      </c>
      <c r="D430" t="s">
        <v>258</v>
      </c>
      <c r="E430">
        <v>3765841.525458999</v>
      </c>
      <c r="F430">
        <v>1447463120.7145801</v>
      </c>
      <c r="G430">
        <v>1451228962.2400389</v>
      </c>
      <c r="H430">
        <v>999178586345.58704</v>
      </c>
      <c r="I430">
        <v>1042271532953.49</v>
      </c>
      <c r="J430">
        <v>5.1742915395502811E-2</v>
      </c>
      <c r="K430">
        <v>3701.3215547545701</v>
      </c>
      <c r="L430">
        <v>4.1593001390937412E-2</v>
      </c>
      <c r="M430">
        <v>3553.5199927532599</v>
      </c>
      <c r="N430">
        <v>3.1983464156240999</v>
      </c>
      <c r="O430">
        <v>43.074308955200202</v>
      </c>
      <c r="P430">
        <v>38.805449666563902</v>
      </c>
      <c r="Q430">
        <v>14.819096363431299</v>
      </c>
      <c r="R430">
        <v>269951846</v>
      </c>
      <c r="S430">
        <v>9.7446065699463499E-3</v>
      </c>
      <c r="T430">
        <v>62.835999999999999</v>
      </c>
      <c r="U430">
        <v>6.39</v>
      </c>
      <c r="V430">
        <v>54.374648000000001</v>
      </c>
      <c r="W430">
        <v>5.4623840000000001</v>
      </c>
      <c r="X430">
        <v>40.356749999999998</v>
      </c>
      <c r="Y430">
        <v>39.904600000000002</v>
      </c>
      <c r="Z430">
        <v>36.149487804258797</v>
      </c>
      <c r="AA430">
        <v>2019</v>
      </c>
      <c r="AB430">
        <v>2021</v>
      </c>
      <c r="AC430">
        <v>0</v>
      </c>
      <c r="AD430">
        <v>0</v>
      </c>
      <c r="AE430">
        <v>2</v>
      </c>
      <c r="AF430">
        <v>1</v>
      </c>
      <c r="AI430">
        <v>1</v>
      </c>
      <c r="AJ430">
        <v>-0.31440138816833502</v>
      </c>
      <c r="AK430">
        <v>-2.181646786630154E-2</v>
      </c>
      <c r="AL430">
        <v>1.0071675E-2</v>
      </c>
      <c r="AM430">
        <f>VLOOKUP(D430,[1]Sheet1!$C$1:$D$191,2,FALSE)</f>
        <v>54</v>
      </c>
    </row>
    <row r="431" spans="1:39" x14ac:dyDescent="0.35">
      <c r="A431">
        <v>2019</v>
      </c>
      <c r="B431" t="s">
        <v>57</v>
      </c>
      <c r="C431">
        <v>54</v>
      </c>
      <c r="D431" t="s">
        <v>258</v>
      </c>
      <c r="E431">
        <v>16291885.614813451</v>
      </c>
      <c r="F431">
        <v>1430382061.321665</v>
      </c>
      <c r="G431">
        <v>1446673946.9364789</v>
      </c>
      <c r="H431">
        <v>1049330234035.85</v>
      </c>
      <c r="I431">
        <v>1119099871385.79</v>
      </c>
      <c r="J431">
        <v>5.0192876804624524E-2</v>
      </c>
      <c r="K431">
        <v>3850.9032175307202</v>
      </c>
      <c r="L431">
        <v>4.0413041818537346E-2</v>
      </c>
      <c r="M431">
        <v>3701.3215547545701</v>
      </c>
      <c r="N431">
        <v>3.0305866496948699</v>
      </c>
      <c r="O431">
        <v>37.627777535710798</v>
      </c>
      <c r="P431">
        <v>38.372693951660899</v>
      </c>
      <c r="Q431">
        <v>14.4946887502633</v>
      </c>
      <c r="R431">
        <v>272489381</v>
      </c>
      <c r="S431">
        <v>9.3999542422095531E-3</v>
      </c>
      <c r="T431">
        <v>63.341999999999999</v>
      </c>
      <c r="U431">
        <v>6.48</v>
      </c>
      <c r="V431">
        <v>53.409754999999997</v>
      </c>
      <c r="W431">
        <v>5.4749140000000001</v>
      </c>
      <c r="X431">
        <v>41.67445</v>
      </c>
      <c r="Y431">
        <v>47.690600000000003</v>
      </c>
      <c r="Z431">
        <v>37.323086272870299</v>
      </c>
      <c r="AA431">
        <v>2019</v>
      </c>
      <c r="AB431">
        <v>2021</v>
      </c>
      <c r="AC431">
        <v>1</v>
      </c>
      <c r="AD431">
        <v>0</v>
      </c>
      <c r="AE431">
        <v>2</v>
      </c>
      <c r="AF431">
        <v>1</v>
      </c>
      <c r="AG431">
        <v>0</v>
      </c>
      <c r="AI431">
        <v>1</v>
      </c>
      <c r="AJ431">
        <v>-0.34765389561653143</v>
      </c>
      <c r="AK431">
        <v>2.8951389715075489E-2</v>
      </c>
      <c r="AL431">
        <v>7.7459150000000004E-2</v>
      </c>
      <c r="AM431">
        <f>VLOOKUP(D431,[1]Sheet1!$C$1:$D$191,2,FALSE)</f>
        <v>54</v>
      </c>
    </row>
    <row r="432" spans="1:39" x14ac:dyDescent="0.35">
      <c r="A432">
        <v>2020</v>
      </c>
      <c r="B432" t="s">
        <v>57</v>
      </c>
      <c r="C432">
        <v>54</v>
      </c>
      <c r="D432" t="s">
        <v>258</v>
      </c>
      <c r="E432">
        <v>21233927.821329251</v>
      </c>
      <c r="F432">
        <v>1416659942.6663091</v>
      </c>
      <c r="G432">
        <v>1437893870.487638</v>
      </c>
      <c r="H432">
        <v>1027656193922.98</v>
      </c>
      <c r="I432">
        <v>1059054842711.55</v>
      </c>
      <c r="J432">
        <v>-2.065511829341754E-2</v>
      </c>
      <c r="K432">
        <v>3739.4490657684601</v>
      </c>
      <c r="L432">
        <v>-2.8942340398190242E-2</v>
      </c>
      <c r="M432">
        <v>3850.9032175307202</v>
      </c>
      <c r="N432">
        <v>1.9209680056684999</v>
      </c>
      <c r="O432">
        <v>32.972175400242698</v>
      </c>
      <c r="P432">
        <v>38.679539089145301</v>
      </c>
      <c r="Q432">
        <v>16.540027603839199</v>
      </c>
      <c r="R432">
        <v>274814866</v>
      </c>
      <c r="S432">
        <v>8.5342224767283679E-3</v>
      </c>
      <c r="T432">
        <v>62.960999999999999</v>
      </c>
      <c r="U432">
        <v>6.3</v>
      </c>
      <c r="V432">
        <v>51.659936999999999</v>
      </c>
      <c r="W432">
        <v>4.8034369999999997</v>
      </c>
      <c r="X432">
        <v>42.694000000000003</v>
      </c>
      <c r="Y432">
        <v>53.726500000000001</v>
      </c>
      <c r="Z432">
        <v>38.165060140692297</v>
      </c>
      <c r="AA432">
        <v>2019</v>
      </c>
      <c r="AB432">
        <v>2021</v>
      </c>
      <c r="AC432">
        <v>1</v>
      </c>
      <c r="AD432">
        <v>0</v>
      </c>
      <c r="AE432">
        <v>2</v>
      </c>
      <c r="AF432">
        <v>1</v>
      </c>
      <c r="AG432">
        <v>1</v>
      </c>
      <c r="AI432">
        <v>1</v>
      </c>
      <c r="AJ432">
        <v>-0.36560273170471191</v>
      </c>
      <c r="AK432">
        <v>0.21615670621395111</v>
      </c>
      <c r="AL432">
        <v>4.60133E-2</v>
      </c>
      <c r="AM432">
        <f>VLOOKUP(D432,[1]Sheet1!$C$1:$D$191,2,FALSE)</f>
        <v>54</v>
      </c>
    </row>
    <row r="433" spans="1:39" x14ac:dyDescent="0.35">
      <c r="A433">
        <v>2013</v>
      </c>
      <c r="B433" t="s">
        <v>58</v>
      </c>
      <c r="C433">
        <v>55</v>
      </c>
      <c r="D433" t="s">
        <v>259</v>
      </c>
      <c r="E433">
        <v>46963.927803721002</v>
      </c>
      <c r="G433">
        <v>46963.927803721002</v>
      </c>
      <c r="H433">
        <v>395396833390.86902</v>
      </c>
      <c r="I433">
        <v>500399839839.87701</v>
      </c>
      <c r="J433">
        <v>-1.5219792049415117E-2</v>
      </c>
      <c r="K433">
        <v>4916.9729194847396</v>
      </c>
      <c r="L433">
        <v>-2.8006199296003967E-2</v>
      </c>
      <c r="M433">
        <v>5058.6463781183302</v>
      </c>
      <c r="N433">
        <v>36.603035519102903</v>
      </c>
      <c r="O433">
        <v>47.086717919475497</v>
      </c>
      <c r="P433">
        <v>44.5964991335657</v>
      </c>
      <c r="R433">
        <v>80414686</v>
      </c>
      <c r="S433">
        <v>1.3154823865467532E-2</v>
      </c>
      <c r="T433">
        <v>46.777999999999999</v>
      </c>
      <c r="U433">
        <v>1.98</v>
      </c>
      <c r="V433">
        <v>51.693050999999997</v>
      </c>
      <c r="W433">
        <v>0</v>
      </c>
      <c r="X433">
        <v>0</v>
      </c>
      <c r="Y433">
        <v>29.95</v>
      </c>
      <c r="Z433">
        <v>56.463268280029297</v>
      </c>
      <c r="AJ433">
        <v>-0.9970671534538269</v>
      </c>
      <c r="AK433">
        <v>-1.4905086755752559</v>
      </c>
      <c r="AL433">
        <v>5.3250499999999999E-2</v>
      </c>
      <c r="AM433">
        <f>VLOOKUP(D433,[1]Sheet1!$C$1:$D$191,2,FALSE)</f>
        <v>55</v>
      </c>
    </row>
    <row r="434" spans="1:39" x14ac:dyDescent="0.35">
      <c r="A434">
        <v>2014</v>
      </c>
      <c r="B434" t="s">
        <v>58</v>
      </c>
      <c r="C434">
        <v>55</v>
      </c>
      <c r="D434" t="s">
        <v>259</v>
      </c>
      <c r="E434">
        <v>61270.230995108119</v>
      </c>
      <c r="G434">
        <v>61270.230995108119</v>
      </c>
      <c r="H434">
        <v>415106476157.81897</v>
      </c>
      <c r="I434">
        <v>462284793280.82501</v>
      </c>
      <c r="J434">
        <v>4.984775067094685E-2</v>
      </c>
      <c r="K434">
        <v>5093.2031970218604</v>
      </c>
      <c r="L434">
        <v>3.5841213775809941E-2</v>
      </c>
      <c r="M434">
        <v>4916.9729194847396</v>
      </c>
      <c r="N434">
        <v>16.606553235744901</v>
      </c>
      <c r="O434">
        <v>45.351420141316098</v>
      </c>
      <c r="P434">
        <v>48.984479297635801</v>
      </c>
      <c r="R434">
        <v>81502045</v>
      </c>
      <c r="S434">
        <v>1.3521895739293193E-2</v>
      </c>
      <c r="T434">
        <v>46.222999999999999</v>
      </c>
      <c r="U434">
        <v>1.98</v>
      </c>
      <c r="V434">
        <v>57.177064000000001</v>
      </c>
      <c r="W434">
        <v>0</v>
      </c>
      <c r="X434">
        <v>0</v>
      </c>
      <c r="Y434">
        <v>39.3536</v>
      </c>
      <c r="Z434">
        <v>64.499908447265597</v>
      </c>
      <c r="AJ434">
        <v>-1.05286180973053</v>
      </c>
      <c r="AK434">
        <v>-1.457488894462585</v>
      </c>
      <c r="AL434">
        <v>6.3723399999999999E-2</v>
      </c>
      <c r="AM434">
        <f>VLOOKUP(D434,[1]Sheet1!$C$1:$D$191,2,FALSE)</f>
        <v>55</v>
      </c>
    </row>
    <row r="435" spans="1:39" x14ac:dyDescent="0.35">
      <c r="A435">
        <v>2015</v>
      </c>
      <c r="B435" t="s">
        <v>58</v>
      </c>
      <c r="C435">
        <v>55</v>
      </c>
      <c r="D435" t="s">
        <v>259</v>
      </c>
      <c r="E435">
        <v>195235</v>
      </c>
      <c r="G435">
        <v>195235</v>
      </c>
      <c r="H435">
        <v>409191686496.677</v>
      </c>
      <c r="I435">
        <v>409191686496.677</v>
      </c>
      <c r="J435">
        <v>-1.4248849393747423E-2</v>
      </c>
      <c r="K435">
        <v>4952.7335553217799</v>
      </c>
      <c r="L435">
        <v>-2.7579822808211748E-2</v>
      </c>
      <c r="M435">
        <v>5093.2031970218604</v>
      </c>
      <c r="N435">
        <v>12.4846815611533</v>
      </c>
      <c r="O435">
        <v>39.422588661180001</v>
      </c>
      <c r="P435">
        <v>56.371959355197703</v>
      </c>
      <c r="R435">
        <v>82619362</v>
      </c>
      <c r="S435">
        <v>1.370906705469783E-2</v>
      </c>
      <c r="T435">
        <v>46.436999999999998</v>
      </c>
      <c r="U435">
        <v>2.16</v>
      </c>
      <c r="V435">
        <v>67.565540999999996</v>
      </c>
      <c r="W435">
        <v>0</v>
      </c>
      <c r="X435">
        <v>100</v>
      </c>
      <c r="Y435">
        <v>45.335000000000001</v>
      </c>
      <c r="Z435">
        <v>70.685852050781193</v>
      </c>
      <c r="AJ435">
        <v>-0.94035494327545166</v>
      </c>
      <c r="AK435">
        <v>-1.3389962911605831</v>
      </c>
      <c r="AL435">
        <v>9.8880175000000001E-2</v>
      </c>
      <c r="AM435">
        <f>VLOOKUP(D435,[1]Sheet1!$C$1:$D$191,2,FALSE)</f>
        <v>55</v>
      </c>
    </row>
    <row r="436" spans="1:39" x14ac:dyDescent="0.35">
      <c r="A436">
        <v>2016</v>
      </c>
      <c r="B436" t="s">
        <v>58</v>
      </c>
      <c r="C436">
        <v>55</v>
      </c>
      <c r="D436" t="s">
        <v>259</v>
      </c>
      <c r="E436">
        <v>125440.82652515839</v>
      </c>
      <c r="G436">
        <v>125440.82652515839</v>
      </c>
      <c r="H436">
        <v>445262288195.34003</v>
      </c>
      <c r="I436">
        <v>459042684192.698</v>
      </c>
      <c r="J436">
        <v>8.8150866425180788E-2</v>
      </c>
      <c r="K436">
        <v>5312.6172495419196</v>
      </c>
      <c r="L436">
        <v>7.2663649316131632E-2</v>
      </c>
      <c r="M436">
        <v>4952.7335553217799</v>
      </c>
      <c r="N436">
        <v>7.24542548952979</v>
      </c>
      <c r="O436">
        <v>40.387846920842598</v>
      </c>
      <c r="P436">
        <v>60.297493485641702</v>
      </c>
      <c r="R436">
        <v>83812228</v>
      </c>
      <c r="S436">
        <v>1.4438092610785351E-2</v>
      </c>
      <c r="T436">
        <v>46.497</v>
      </c>
      <c r="U436">
        <v>2.34</v>
      </c>
      <c r="V436">
        <v>72.670724000000007</v>
      </c>
      <c r="W436">
        <v>0</v>
      </c>
      <c r="X436">
        <v>0</v>
      </c>
      <c r="Y436">
        <v>53.226799999999997</v>
      </c>
      <c r="Z436">
        <v>67.911231994628906</v>
      </c>
      <c r="AJ436">
        <v>-0.69597756862640381</v>
      </c>
      <c r="AK436">
        <v>-1.245724201202393</v>
      </c>
      <c r="AL436">
        <v>7.2796525000000001E-2</v>
      </c>
      <c r="AM436">
        <f>VLOOKUP(D436,[1]Sheet1!$C$1:$D$191,2,FALSE)</f>
        <v>55</v>
      </c>
    </row>
    <row r="437" spans="1:39" x14ac:dyDescent="0.35">
      <c r="A437">
        <v>2017</v>
      </c>
      <c r="B437" t="s">
        <v>58</v>
      </c>
      <c r="C437">
        <v>55</v>
      </c>
      <c r="D437" t="s">
        <v>259</v>
      </c>
      <c r="E437">
        <v>252292.26300000001</v>
      </c>
      <c r="G437">
        <v>252292.26300000001</v>
      </c>
      <c r="H437">
        <v>457544871772.72803</v>
      </c>
      <c r="I437">
        <v>489168731811.14697</v>
      </c>
      <c r="J437">
        <v>2.7585052457888677E-2</v>
      </c>
      <c r="K437">
        <v>5381.1870999183102</v>
      </c>
      <c r="L437">
        <v>1.2906981089650877E-2</v>
      </c>
      <c r="M437">
        <v>5312.6172495419196</v>
      </c>
      <c r="N437">
        <v>8.0449243766027791</v>
      </c>
      <c r="O437">
        <v>44.744870765908701</v>
      </c>
      <c r="R437">
        <v>85026754</v>
      </c>
      <c r="S437">
        <v>1.4491035842645777E-2</v>
      </c>
      <c r="U437">
        <v>2.4500000000000002</v>
      </c>
      <c r="V437">
        <v>77.519696999999994</v>
      </c>
      <c r="W437">
        <v>0</v>
      </c>
      <c r="X437">
        <v>0</v>
      </c>
      <c r="Y437">
        <v>64.043999999999997</v>
      </c>
      <c r="Z437">
        <v>66.351448059082003</v>
      </c>
      <c r="AJ437">
        <v>-0.70252662897109985</v>
      </c>
      <c r="AK437">
        <v>-1.220894932746887</v>
      </c>
      <c r="AL437">
        <v>0.121050375</v>
      </c>
      <c r="AM437">
        <f>VLOOKUP(D437,[1]Sheet1!$C$1:$D$191,2,FALSE)</f>
        <v>55</v>
      </c>
    </row>
    <row r="438" spans="1:39" x14ac:dyDescent="0.35">
      <c r="A438">
        <v>2018</v>
      </c>
      <c r="B438" t="s">
        <v>58</v>
      </c>
      <c r="C438">
        <v>55</v>
      </c>
      <c r="D438" t="s">
        <v>259</v>
      </c>
      <c r="E438">
        <v>442570.32955000002</v>
      </c>
      <c r="G438">
        <v>442570.32955000002</v>
      </c>
      <c r="H438">
        <v>449135162389.14203</v>
      </c>
      <c r="I438">
        <v>398880231367.26801</v>
      </c>
      <c r="J438">
        <v>-1.8380075709302834E-2</v>
      </c>
      <c r="K438">
        <v>5215.34606957702</v>
      </c>
      <c r="L438">
        <v>-3.0818670167370277E-2</v>
      </c>
      <c r="M438">
        <v>5381.1870999183102</v>
      </c>
      <c r="N438">
        <v>18.014118337187401</v>
      </c>
      <c r="O438">
        <v>58.565089715215599</v>
      </c>
      <c r="R438">
        <v>86117998</v>
      </c>
      <c r="S438">
        <v>1.2834125127251125E-2</v>
      </c>
      <c r="T438">
        <v>46.112000000000002</v>
      </c>
      <c r="U438">
        <v>2.4500000000000002</v>
      </c>
      <c r="V438">
        <v>88.647589999999994</v>
      </c>
      <c r="W438">
        <v>0</v>
      </c>
      <c r="X438">
        <v>0</v>
      </c>
      <c r="Y438">
        <v>70.200599999999994</v>
      </c>
      <c r="Z438">
        <v>60.861148834228501</v>
      </c>
      <c r="AJ438">
        <v>-0.71285921335220337</v>
      </c>
      <c r="AK438">
        <v>-1.3958497047424321</v>
      </c>
      <c r="AL438">
        <v>0.148436175</v>
      </c>
      <c r="AM438">
        <f>VLOOKUP(D438,[1]Sheet1!$C$1:$D$191,2,FALSE)</f>
        <v>55</v>
      </c>
    </row>
    <row r="439" spans="1:39" x14ac:dyDescent="0.35">
      <c r="A439">
        <v>2013</v>
      </c>
      <c r="B439" t="s">
        <v>59</v>
      </c>
      <c r="C439">
        <v>56</v>
      </c>
      <c r="D439" t="s">
        <v>260</v>
      </c>
      <c r="E439">
        <v>3080</v>
      </c>
      <c r="F439">
        <v>1674400</v>
      </c>
      <c r="G439">
        <v>1677480</v>
      </c>
      <c r="H439">
        <v>158939252263.83401</v>
      </c>
      <c r="I439">
        <v>234637675128.64499</v>
      </c>
      <c r="J439">
        <v>7.6282859229876529E-2</v>
      </c>
      <c r="K439">
        <v>4504.8268753735401</v>
      </c>
      <c r="L439">
        <v>2.6646473210161444E-2</v>
      </c>
      <c r="M439">
        <v>4387.90469058707</v>
      </c>
      <c r="N439">
        <v>1.8794980074946901</v>
      </c>
      <c r="O439">
        <v>67.410018409567201</v>
      </c>
      <c r="P439">
        <v>6.3356491615992896</v>
      </c>
      <c r="R439">
        <v>35281989</v>
      </c>
      <c r="S439">
        <v>4.8348080196008648E-2</v>
      </c>
      <c r="U439">
        <v>4.0999999999999996</v>
      </c>
      <c r="V439">
        <v>1.0761345</v>
      </c>
      <c r="W439">
        <v>3.4672499999999999</v>
      </c>
      <c r="X439">
        <v>70.863669999999999</v>
      </c>
      <c r="Y439">
        <v>9.1999999999999993</v>
      </c>
      <c r="AJ439">
        <v>-1.5644323825836179</v>
      </c>
      <c r="AK439">
        <v>-1.129338264465332</v>
      </c>
      <c r="AL439">
        <v>6.1773750000000002E-2</v>
      </c>
      <c r="AM439">
        <f>VLOOKUP(D439,[1]Sheet1!$C$1:$D$191,2,FALSE)</f>
        <v>56</v>
      </c>
    </row>
    <row r="440" spans="1:39" x14ac:dyDescent="0.35">
      <c r="A440">
        <v>2014</v>
      </c>
      <c r="B440" t="s">
        <v>59</v>
      </c>
      <c r="C440">
        <v>56</v>
      </c>
      <c r="D440" t="s">
        <v>260</v>
      </c>
      <c r="E440">
        <v>33601.656554651418</v>
      </c>
      <c r="F440">
        <v>2695300</v>
      </c>
      <c r="G440">
        <v>2728901.6565546514</v>
      </c>
      <c r="H440">
        <v>162537141323.77499</v>
      </c>
      <c r="I440">
        <v>228415656174.957</v>
      </c>
      <c r="J440">
        <v>2.2636881756361856E-2</v>
      </c>
      <c r="K440">
        <v>4446.97343234862</v>
      </c>
      <c r="L440">
        <v>-1.2842545257662742E-2</v>
      </c>
      <c r="M440">
        <v>4504.8268753735401</v>
      </c>
      <c r="N440">
        <v>2.2359740790467901</v>
      </c>
      <c r="O440">
        <v>68.982486856903606</v>
      </c>
      <c r="P440">
        <v>6.8142954506219704</v>
      </c>
      <c r="Q440">
        <v>25.709014155358101</v>
      </c>
      <c r="R440">
        <v>36550059</v>
      </c>
      <c r="S440">
        <v>3.5941000945269835E-2</v>
      </c>
      <c r="U440">
        <v>4.2300000000000004</v>
      </c>
      <c r="V440">
        <v>1.6082407999999999</v>
      </c>
      <c r="W440">
        <v>3.7746909999999998</v>
      </c>
      <c r="X440">
        <v>66.859520000000003</v>
      </c>
      <c r="Y440">
        <v>11.645300000000001</v>
      </c>
      <c r="AJ440">
        <v>-1.4488427639007571</v>
      </c>
      <c r="AK440">
        <v>-1.1338427066802981</v>
      </c>
      <c r="AL440">
        <v>2.5311549999999999E-2</v>
      </c>
      <c r="AM440">
        <f>VLOOKUP(D440,[1]Sheet1!$C$1:$D$191,2,FALSE)</f>
        <v>56</v>
      </c>
    </row>
    <row r="441" spans="1:39" x14ac:dyDescent="0.35">
      <c r="A441">
        <v>2015</v>
      </c>
      <c r="B441" t="s">
        <v>59</v>
      </c>
      <c r="C441">
        <v>56</v>
      </c>
      <c r="D441" t="s">
        <v>260</v>
      </c>
      <c r="E441">
        <v>9354.3540636174002</v>
      </c>
      <c r="F441">
        <v>44550</v>
      </c>
      <c r="G441">
        <v>53904.3540636174</v>
      </c>
      <c r="H441">
        <v>166774104959.10199</v>
      </c>
      <c r="I441">
        <v>166774104959.10199</v>
      </c>
      <c r="J441">
        <v>2.6067664293953206E-2</v>
      </c>
      <c r="K441">
        <v>4440.1418925236703</v>
      </c>
      <c r="L441">
        <v>-1.5362223158913015E-3</v>
      </c>
      <c r="M441">
        <v>4446.97343234862</v>
      </c>
      <c r="N441">
        <v>1.39333028780309</v>
      </c>
      <c r="O441">
        <v>69.591768598311504</v>
      </c>
      <c r="P441">
        <v>9.8758223889243997</v>
      </c>
      <c r="Q441">
        <v>27.0309301531966</v>
      </c>
      <c r="R441">
        <v>37560535</v>
      </c>
      <c r="S441">
        <v>2.764635756128328E-2</v>
      </c>
      <c r="U441">
        <v>4.08</v>
      </c>
      <c r="V441">
        <v>1.8620950999999999</v>
      </c>
      <c r="W441">
        <v>1.723695</v>
      </c>
      <c r="X441">
        <v>82.168639999999996</v>
      </c>
      <c r="Y441">
        <v>15.2</v>
      </c>
      <c r="AJ441">
        <v>-1.5623594522476201</v>
      </c>
      <c r="AK441">
        <v>-1.151692867279053</v>
      </c>
      <c r="AL441">
        <v>3.121875E-2</v>
      </c>
      <c r="AM441">
        <f>VLOOKUP(D441,[1]Sheet1!$C$1:$D$191,2,FALSE)</f>
        <v>56</v>
      </c>
    </row>
    <row r="442" spans="1:39" x14ac:dyDescent="0.35">
      <c r="A442">
        <v>2016</v>
      </c>
      <c r="B442" t="s">
        <v>59</v>
      </c>
      <c r="C442">
        <v>56</v>
      </c>
      <c r="D442" t="s">
        <v>260</v>
      </c>
      <c r="E442">
        <v>7656.97265459962</v>
      </c>
      <c r="G442">
        <v>7656.97265459962</v>
      </c>
      <c r="H442">
        <v>189767872908.42599</v>
      </c>
      <c r="I442">
        <v>166743557747.67099</v>
      </c>
      <c r="J442">
        <v>0.1378737301870861</v>
      </c>
      <c r="K442">
        <v>4932.9272911439002</v>
      </c>
      <c r="L442">
        <v>0.11098415558520416</v>
      </c>
      <c r="M442">
        <v>4440.1418925236703</v>
      </c>
      <c r="N442">
        <v>0.55652139715551097</v>
      </c>
      <c r="O442">
        <v>54.588320188677002</v>
      </c>
      <c r="P442">
        <v>10.076683756849899</v>
      </c>
      <c r="Q442">
        <v>26.5600237455794</v>
      </c>
      <c r="R442">
        <v>38469627</v>
      </c>
      <c r="S442">
        <v>2.4203382619550014E-2</v>
      </c>
      <c r="U442">
        <v>4.08</v>
      </c>
      <c r="V442">
        <v>2.3816554000000001</v>
      </c>
      <c r="W442">
        <v>2.1404000000000001</v>
      </c>
      <c r="X442">
        <v>78.458770000000001</v>
      </c>
      <c r="Y442">
        <v>19.899999999999999</v>
      </c>
      <c r="AJ442">
        <v>-1.7678853273391719</v>
      </c>
      <c r="AK442">
        <v>-0.99136060476303101</v>
      </c>
      <c r="AL442">
        <v>2.9891049999999999E-2</v>
      </c>
      <c r="AM442">
        <f>VLOOKUP(D442,[1]Sheet1!$C$1:$D$191,2,FALSE)</f>
        <v>56</v>
      </c>
    </row>
    <row r="443" spans="1:39" x14ac:dyDescent="0.35">
      <c r="A443">
        <v>2017</v>
      </c>
      <c r="B443" t="s">
        <v>59</v>
      </c>
      <c r="C443">
        <v>56</v>
      </c>
      <c r="D443" t="s">
        <v>260</v>
      </c>
      <c r="E443">
        <v>107904.8278</v>
      </c>
      <c r="G443">
        <v>107904.8278</v>
      </c>
      <c r="H443">
        <v>186314571374.742</v>
      </c>
      <c r="I443">
        <v>187217660050.67599</v>
      </c>
      <c r="J443">
        <v>-1.8197503511832105E-2</v>
      </c>
      <c r="K443">
        <v>4736.3271080985696</v>
      </c>
      <c r="L443">
        <v>-3.9854668727489155E-2</v>
      </c>
      <c r="M443">
        <v>4932.9272911439002</v>
      </c>
      <c r="N443">
        <v>0.18405889884769</v>
      </c>
      <c r="O443">
        <v>59.780912392315699</v>
      </c>
      <c r="P443">
        <v>9.5498397328793896</v>
      </c>
      <c r="Q443">
        <v>25.9749833916221</v>
      </c>
      <c r="R443">
        <v>39337353</v>
      </c>
      <c r="S443">
        <v>2.2556132400243963E-2</v>
      </c>
      <c r="U443">
        <v>4.09</v>
      </c>
      <c r="V443">
        <v>2.8531792999999999</v>
      </c>
      <c r="W443">
        <v>2.5227560000000002</v>
      </c>
      <c r="X443">
        <v>78.577669999999998</v>
      </c>
      <c r="Y443">
        <v>49.36</v>
      </c>
      <c r="AJ443">
        <v>-1.7553446292877199</v>
      </c>
      <c r="AK443">
        <v>-1.110490202903748</v>
      </c>
      <c r="AL443">
        <v>3.7411075000000002E-2</v>
      </c>
      <c r="AM443">
        <f>VLOOKUP(D443,[1]Sheet1!$C$1:$D$191,2,FALSE)</f>
        <v>56</v>
      </c>
    </row>
    <row r="444" spans="1:39" x14ac:dyDescent="0.35">
      <c r="A444">
        <v>2018</v>
      </c>
      <c r="B444" t="s">
        <v>59</v>
      </c>
      <c r="C444">
        <v>56</v>
      </c>
      <c r="D444" t="s">
        <v>260</v>
      </c>
      <c r="E444">
        <v>43140.058250000002</v>
      </c>
      <c r="G444">
        <v>43140.058250000002</v>
      </c>
      <c r="H444">
        <v>191221819559.37799</v>
      </c>
      <c r="I444">
        <v>227367469034.03101</v>
      </c>
      <c r="J444">
        <v>2.6338509910563249E-2</v>
      </c>
      <c r="K444">
        <v>4749.0092183689603</v>
      </c>
      <c r="L444">
        <v>2.6776255062083355E-3</v>
      </c>
      <c r="M444">
        <v>4736.3271080985696</v>
      </c>
      <c r="N444">
        <v>0.36744148893684903</v>
      </c>
      <c r="O444">
        <v>65.801791770108295</v>
      </c>
      <c r="P444">
        <v>8.5800173326621891</v>
      </c>
      <c r="Q444">
        <v>24.483420431224399</v>
      </c>
      <c r="R444">
        <v>40265624</v>
      </c>
      <c r="S444">
        <v>2.3597698604682426E-2</v>
      </c>
      <c r="U444">
        <v>4.0599999999999996</v>
      </c>
      <c r="V444">
        <v>3.6528311000000002</v>
      </c>
      <c r="W444">
        <v>2.9841120000000001</v>
      </c>
      <c r="X444">
        <v>82.255350000000007</v>
      </c>
      <c r="Y444">
        <v>33.9</v>
      </c>
      <c r="AJ444">
        <v>-1.8013429641723631</v>
      </c>
      <c r="AK444">
        <v>-1.063863158226013</v>
      </c>
      <c r="AL444">
        <v>3.3596399999999998E-2</v>
      </c>
      <c r="AM444">
        <f>VLOOKUP(D444,[1]Sheet1!$C$1:$D$191,2,FALSE)</f>
        <v>56</v>
      </c>
    </row>
    <row r="445" spans="1:39" x14ac:dyDescent="0.35">
      <c r="A445">
        <v>2019</v>
      </c>
      <c r="B445" t="s">
        <v>59</v>
      </c>
      <c r="C445">
        <v>56</v>
      </c>
      <c r="D445" t="s">
        <v>260</v>
      </c>
      <c r="E445">
        <v>31685.311111970001</v>
      </c>
      <c r="G445">
        <v>31685.311111970001</v>
      </c>
      <c r="H445">
        <v>201765390224.362</v>
      </c>
      <c r="I445">
        <v>233636097800.33801</v>
      </c>
      <c r="J445">
        <v>5.5137905754055597E-2</v>
      </c>
      <c r="K445">
        <v>4898.1489765218103</v>
      </c>
      <c r="L445">
        <v>3.1404394326291024E-2</v>
      </c>
      <c r="M445">
        <v>4749.0092183689603</v>
      </c>
      <c r="N445">
        <v>-0.198965380023928</v>
      </c>
      <c r="O445">
        <v>68.989938420280595</v>
      </c>
      <c r="P445">
        <v>8.8089603281684692</v>
      </c>
      <c r="Q445">
        <v>27.612135277090701</v>
      </c>
      <c r="R445">
        <v>41192171</v>
      </c>
      <c r="S445">
        <v>2.3010869023164772E-2</v>
      </c>
      <c r="U445">
        <v>3.74</v>
      </c>
      <c r="V445">
        <v>4.161905</v>
      </c>
      <c r="W445">
        <v>2.5327190000000002</v>
      </c>
      <c r="X445">
        <v>87.092619999999997</v>
      </c>
      <c r="Y445">
        <v>44.326300000000003</v>
      </c>
      <c r="AJ445">
        <v>-1.772035479545593</v>
      </c>
      <c r="AK445">
        <v>-1.096590995788574</v>
      </c>
      <c r="AL445">
        <v>2.6688900000000002E-2</v>
      </c>
      <c r="AM445">
        <f>VLOOKUP(D445,[1]Sheet1!$C$1:$D$191,2,FALSE)</f>
        <v>56</v>
      </c>
    </row>
    <row r="446" spans="1:39" x14ac:dyDescent="0.35">
      <c r="A446">
        <v>2020</v>
      </c>
      <c r="B446" t="s">
        <v>59</v>
      </c>
      <c r="C446">
        <v>56</v>
      </c>
      <c r="D446" t="s">
        <v>260</v>
      </c>
      <c r="E446">
        <v>203874.34768377</v>
      </c>
      <c r="G446">
        <v>203874.34768377</v>
      </c>
      <c r="H446">
        <v>177479307669.569</v>
      </c>
      <c r="I446">
        <v>180898797516.87399</v>
      </c>
      <c r="J446">
        <v>-0.12036793093100362</v>
      </c>
      <c r="K446">
        <v>4213.9984376606099</v>
      </c>
      <c r="L446">
        <v>-0.13967532268628907</v>
      </c>
      <c r="M446">
        <v>4898.1489765218103</v>
      </c>
      <c r="N446">
        <v>0.57416267942579502</v>
      </c>
      <c r="O446">
        <v>57.742316395145998</v>
      </c>
      <c r="P446">
        <v>13.3148576834755</v>
      </c>
      <c r="R446">
        <v>42116605</v>
      </c>
      <c r="S446">
        <v>2.24419829680742E-2</v>
      </c>
      <c r="U446">
        <v>3.62</v>
      </c>
      <c r="V446">
        <v>5.3486415999999997</v>
      </c>
      <c r="W446">
        <v>1.916121</v>
      </c>
      <c r="X446">
        <v>88.825450000000004</v>
      </c>
      <c r="Y446">
        <v>53.677799999999998</v>
      </c>
      <c r="AJ446">
        <v>-1.7998642921447749</v>
      </c>
      <c r="AK446">
        <v>-1.339560389518738</v>
      </c>
      <c r="AL446">
        <v>5.5386500000000012E-2</v>
      </c>
      <c r="AM446">
        <f>VLOOKUP(D446,[1]Sheet1!$C$1:$D$191,2,FALSE)</f>
        <v>56</v>
      </c>
    </row>
    <row r="447" spans="1:39" x14ac:dyDescent="0.35">
      <c r="A447">
        <v>2013</v>
      </c>
      <c r="B447" t="s">
        <v>60</v>
      </c>
      <c r="C447">
        <v>57</v>
      </c>
      <c r="D447" t="s">
        <v>261</v>
      </c>
      <c r="E447">
        <v>26961027.630934041</v>
      </c>
      <c r="F447">
        <v>323700</v>
      </c>
      <c r="G447">
        <v>27284727.630934037</v>
      </c>
      <c r="H447">
        <v>284811641782.08502</v>
      </c>
      <c r="I447">
        <v>297634145181.87598</v>
      </c>
      <c r="J447">
        <v>4.230599673891508E-2</v>
      </c>
      <c r="K447">
        <v>35338.624205234199</v>
      </c>
      <c r="L447">
        <v>2.3036365432495719E-2</v>
      </c>
      <c r="M447">
        <v>34542.881757966199</v>
      </c>
      <c r="N447">
        <v>1.5702553921125999</v>
      </c>
      <c r="O447">
        <v>64.665630989516899</v>
      </c>
      <c r="P447">
        <v>64.857518721903105</v>
      </c>
      <c r="Q447">
        <v>36.2029194207907</v>
      </c>
      <c r="R447">
        <v>8059500</v>
      </c>
      <c r="S447">
        <v>1.8835724669742746E-2</v>
      </c>
      <c r="T447">
        <v>34.540999999999997</v>
      </c>
      <c r="U447">
        <v>7.53</v>
      </c>
      <c r="V447">
        <v>123.04771</v>
      </c>
      <c r="W447">
        <v>2.4203160000000001</v>
      </c>
      <c r="X447">
        <v>79.47166</v>
      </c>
      <c r="Y447">
        <v>70.250299999999996</v>
      </c>
      <c r="Z447">
        <v>62.062419891357401</v>
      </c>
      <c r="AA447">
        <v>2021</v>
      </c>
      <c r="AB447">
        <v>2023</v>
      </c>
      <c r="AC447">
        <v>0</v>
      </c>
      <c r="AD447">
        <v>0</v>
      </c>
      <c r="AE447">
        <v>2</v>
      </c>
      <c r="AF447">
        <v>1</v>
      </c>
      <c r="AJ447">
        <v>0.97138822078704834</v>
      </c>
      <c r="AK447">
        <v>1.1593800783157351</v>
      </c>
      <c r="AL447">
        <v>5.8504575000000003E-2</v>
      </c>
      <c r="AM447">
        <f>VLOOKUP(D447,[1]Sheet1!$C$1:$D$191,2,FALSE)</f>
        <v>57</v>
      </c>
    </row>
    <row r="448" spans="1:39" x14ac:dyDescent="0.35">
      <c r="A448">
        <v>2014</v>
      </c>
      <c r="B448" t="s">
        <v>60</v>
      </c>
      <c r="C448">
        <v>57</v>
      </c>
      <c r="D448" t="s">
        <v>261</v>
      </c>
      <c r="E448">
        <v>72037515.77099362</v>
      </c>
      <c r="F448">
        <v>7397375</v>
      </c>
      <c r="G448">
        <v>79434890.77099362</v>
      </c>
      <c r="H448">
        <v>295877497534.41101</v>
      </c>
      <c r="I448">
        <v>314090281098.68201</v>
      </c>
      <c r="J448">
        <v>3.8853242385340034E-2</v>
      </c>
      <c r="K448">
        <v>36013.668650804102</v>
      </c>
      <c r="L448">
        <v>1.9102171087631615E-2</v>
      </c>
      <c r="M448">
        <v>35338.624205234199</v>
      </c>
      <c r="N448">
        <v>0.47978676143932403</v>
      </c>
      <c r="O448">
        <v>62.211175408023998</v>
      </c>
      <c r="P448">
        <v>65.132233592053396</v>
      </c>
      <c r="Q448">
        <v>34.919408590044199</v>
      </c>
      <c r="R448">
        <v>8215700</v>
      </c>
      <c r="S448">
        <v>1.9380854891742665E-2</v>
      </c>
      <c r="T448">
        <v>33.622</v>
      </c>
      <c r="U448">
        <v>7.63</v>
      </c>
      <c r="V448">
        <v>123.07463</v>
      </c>
      <c r="W448">
        <v>2.08968</v>
      </c>
      <c r="X448">
        <v>79.891739999999999</v>
      </c>
      <c r="Y448">
        <v>75.017799999999994</v>
      </c>
      <c r="Z448">
        <v>62.105628967285199</v>
      </c>
      <c r="AA448">
        <v>2021</v>
      </c>
      <c r="AB448">
        <v>2023</v>
      </c>
      <c r="AC448">
        <v>0</v>
      </c>
      <c r="AD448">
        <v>0</v>
      </c>
      <c r="AE448">
        <v>2</v>
      </c>
      <c r="AF448">
        <v>1</v>
      </c>
      <c r="AJ448">
        <v>1.1051938533782959</v>
      </c>
      <c r="AK448">
        <v>1.211220502853394</v>
      </c>
      <c r="AL448">
        <v>7.5889375000000009E-2</v>
      </c>
      <c r="AM448">
        <f>VLOOKUP(D448,[1]Sheet1!$C$1:$D$191,2,FALSE)</f>
        <v>57</v>
      </c>
    </row>
    <row r="449" spans="1:39" x14ac:dyDescent="0.35">
      <c r="A449">
        <v>2015</v>
      </c>
      <c r="B449" t="s">
        <v>60</v>
      </c>
      <c r="C449">
        <v>57</v>
      </c>
      <c r="D449" t="s">
        <v>261</v>
      </c>
      <c r="E449">
        <v>116106629.57788689</v>
      </c>
      <c r="F449">
        <v>20200225</v>
      </c>
      <c r="G449">
        <v>136306854.57788688</v>
      </c>
      <c r="H449">
        <v>302722655203.46503</v>
      </c>
      <c r="I449">
        <v>302722655203.46503</v>
      </c>
      <c r="J449">
        <v>2.3135107353873419E-2</v>
      </c>
      <c r="K449">
        <v>36123.990788112897</v>
      </c>
      <c r="L449">
        <v>3.0633407103980571E-3</v>
      </c>
      <c r="M449">
        <v>36013.668650804102</v>
      </c>
      <c r="N449">
        <v>-0.60129100716239203</v>
      </c>
      <c r="O449">
        <v>59.347580731083802</v>
      </c>
      <c r="P449">
        <v>65.8795380160457</v>
      </c>
      <c r="Q449">
        <v>34.483401925463397</v>
      </c>
      <c r="R449">
        <v>8380100</v>
      </c>
      <c r="S449">
        <v>2.0010467762941686E-2</v>
      </c>
      <c r="T449">
        <v>32.869</v>
      </c>
      <c r="U449">
        <v>7.77</v>
      </c>
      <c r="V449">
        <v>101.51666</v>
      </c>
      <c r="W449">
        <v>2.2355139999999998</v>
      </c>
      <c r="X449">
        <v>82.060580000000002</v>
      </c>
      <c r="Y449">
        <v>77.352099999999993</v>
      </c>
      <c r="Z449">
        <v>60.822788238525398</v>
      </c>
      <c r="AA449">
        <v>2021</v>
      </c>
      <c r="AB449">
        <v>2023</v>
      </c>
      <c r="AC449">
        <v>0</v>
      </c>
      <c r="AD449">
        <v>0</v>
      </c>
      <c r="AE449">
        <v>2</v>
      </c>
      <c r="AF449">
        <v>1</v>
      </c>
      <c r="AJ449">
        <v>1.130978465080261</v>
      </c>
      <c r="AK449">
        <v>1.259218573570251</v>
      </c>
      <c r="AL449">
        <v>4.7640925000000001E-2</v>
      </c>
      <c r="AM449">
        <f>VLOOKUP(D449,[1]Sheet1!$C$1:$D$191,2,FALSE)</f>
        <v>57</v>
      </c>
    </row>
    <row r="450" spans="1:39" x14ac:dyDescent="0.35">
      <c r="A450">
        <v>2016</v>
      </c>
      <c r="B450" t="s">
        <v>60</v>
      </c>
      <c r="C450">
        <v>57</v>
      </c>
      <c r="D450" t="s">
        <v>261</v>
      </c>
      <c r="E450">
        <v>105048067.4290684</v>
      </c>
      <c r="F450">
        <v>33175300</v>
      </c>
      <c r="G450">
        <v>138223367.42906845</v>
      </c>
      <c r="H450">
        <v>315943412203.59399</v>
      </c>
      <c r="I450">
        <v>320958936788.84198</v>
      </c>
      <c r="J450">
        <v>4.36728364160359E-2</v>
      </c>
      <c r="K450">
        <v>36969.741657336002</v>
      </c>
      <c r="L450">
        <v>2.3412442832905715E-2</v>
      </c>
      <c r="M450">
        <v>36123.990788112897</v>
      </c>
      <c r="N450">
        <v>-0.55155235299355798</v>
      </c>
      <c r="O450">
        <v>58.250847351212997</v>
      </c>
      <c r="P450">
        <v>64.926124917364305</v>
      </c>
      <c r="Q450">
        <v>34.516460439688601</v>
      </c>
      <c r="R450">
        <v>8546000</v>
      </c>
      <c r="S450">
        <v>1.9796899798331762E-2</v>
      </c>
      <c r="T450">
        <v>32.145000000000003</v>
      </c>
      <c r="U450">
        <v>7.85</v>
      </c>
      <c r="V450">
        <v>111.05262999999999</v>
      </c>
      <c r="W450">
        <v>2.3860769999999998</v>
      </c>
      <c r="X450">
        <v>68.639560000000003</v>
      </c>
      <c r="Y450">
        <v>79.653099999999995</v>
      </c>
      <c r="Z450">
        <v>60.447441101074197</v>
      </c>
      <c r="AA450">
        <v>2021</v>
      </c>
      <c r="AB450">
        <v>2023</v>
      </c>
      <c r="AC450">
        <v>0</v>
      </c>
      <c r="AD450">
        <v>0</v>
      </c>
      <c r="AE450">
        <v>2</v>
      </c>
      <c r="AF450">
        <v>1</v>
      </c>
      <c r="AJ450">
        <v>1.039138197898865</v>
      </c>
      <c r="AK450">
        <v>1.300973773002625</v>
      </c>
      <c r="AL450">
        <v>2.8187125E-2</v>
      </c>
      <c r="AM450">
        <f>VLOOKUP(D450,[1]Sheet1!$C$1:$D$191,2,FALSE)</f>
        <v>57</v>
      </c>
    </row>
    <row r="451" spans="1:39" x14ac:dyDescent="0.35">
      <c r="A451">
        <v>2017</v>
      </c>
      <c r="B451" t="s">
        <v>60</v>
      </c>
      <c r="C451">
        <v>57</v>
      </c>
      <c r="D451" t="s">
        <v>261</v>
      </c>
      <c r="E451">
        <v>124402996.291692</v>
      </c>
      <c r="F451">
        <v>171052048</v>
      </c>
      <c r="G451">
        <v>295455044.29169202</v>
      </c>
      <c r="H451">
        <v>329445006817.89001</v>
      </c>
      <c r="I451">
        <v>357227098125.65802</v>
      </c>
      <c r="J451">
        <v>4.2734217878217982E-2</v>
      </c>
      <c r="K451">
        <v>37809.441522487403</v>
      </c>
      <c r="L451">
        <v>2.2713165618910312E-2</v>
      </c>
      <c r="M451">
        <v>36969.741657336002</v>
      </c>
      <c r="N451">
        <v>0.25941497450575002</v>
      </c>
      <c r="O451">
        <v>56.721617773481398</v>
      </c>
      <c r="P451">
        <v>64.866742504239596</v>
      </c>
      <c r="Q451">
        <v>35.5953127617788</v>
      </c>
      <c r="R451">
        <v>8713300</v>
      </c>
      <c r="S451">
        <v>1.9576410016381933E-2</v>
      </c>
      <c r="T451">
        <v>31.876999999999999</v>
      </c>
      <c r="U451">
        <v>7.79</v>
      </c>
      <c r="V451">
        <v>121.38445</v>
      </c>
      <c r="W451">
        <v>2.3621639999999999</v>
      </c>
      <c r="X451">
        <v>73.172479999999993</v>
      </c>
      <c r="Y451">
        <v>81.581199999999995</v>
      </c>
      <c r="Z451">
        <v>59.065868377685497</v>
      </c>
      <c r="AA451">
        <v>2021</v>
      </c>
      <c r="AB451">
        <v>2023</v>
      </c>
      <c r="AC451">
        <v>0</v>
      </c>
      <c r="AD451">
        <v>0</v>
      </c>
      <c r="AE451">
        <v>2</v>
      </c>
      <c r="AF451">
        <v>1</v>
      </c>
      <c r="AJ451">
        <v>0.98935109376907349</v>
      </c>
      <c r="AK451">
        <v>1.261690139770508</v>
      </c>
      <c r="AL451">
        <v>5.0602275000000002E-2</v>
      </c>
      <c r="AM451">
        <f>VLOOKUP(D451,[1]Sheet1!$C$1:$D$191,2,FALSE)</f>
        <v>57</v>
      </c>
    </row>
    <row r="452" spans="1:39" x14ac:dyDescent="0.35">
      <c r="A452">
        <v>2018</v>
      </c>
      <c r="B452" t="s">
        <v>60</v>
      </c>
      <c r="C452">
        <v>57</v>
      </c>
      <c r="D452" t="s">
        <v>261</v>
      </c>
      <c r="E452">
        <v>38398361.526504003</v>
      </c>
      <c r="F452">
        <v>687428865</v>
      </c>
      <c r="G452">
        <v>725827226.52650404</v>
      </c>
      <c r="H452">
        <v>342868164572.703</v>
      </c>
      <c r="I452">
        <v>375149611117.19897</v>
      </c>
      <c r="J452">
        <v>4.0744760057125455E-2</v>
      </c>
      <c r="K452">
        <v>38599.108904028297</v>
      </c>
      <c r="L452">
        <v>2.0885454789678244E-2</v>
      </c>
      <c r="M452">
        <v>37809.441522487403</v>
      </c>
      <c r="N452">
        <v>0.79407566024271803</v>
      </c>
      <c r="O452">
        <v>59.136022392812698</v>
      </c>
      <c r="P452">
        <v>65.686819915256706</v>
      </c>
      <c r="Q452">
        <v>35.857948511933898</v>
      </c>
      <c r="R452">
        <v>8882800</v>
      </c>
      <c r="S452">
        <v>1.9453020095715746E-2</v>
      </c>
      <c r="T452">
        <v>31.199000000000002</v>
      </c>
      <c r="U452">
        <v>7.79</v>
      </c>
      <c r="V452">
        <v>128.37662</v>
      </c>
      <c r="W452">
        <v>2.3429180000000001</v>
      </c>
      <c r="X452">
        <v>73.105029999999999</v>
      </c>
      <c r="Y452">
        <v>83.733199999999997</v>
      </c>
      <c r="Z452">
        <v>57.393428802490199</v>
      </c>
      <c r="AA452">
        <v>2021</v>
      </c>
      <c r="AB452">
        <v>2023</v>
      </c>
      <c r="AC452">
        <v>0</v>
      </c>
      <c r="AD452">
        <v>0</v>
      </c>
      <c r="AE452">
        <v>2</v>
      </c>
      <c r="AF452">
        <v>1</v>
      </c>
      <c r="AJ452">
        <v>0.96016430854797363</v>
      </c>
      <c r="AK452">
        <v>1.2379453182220459</v>
      </c>
      <c r="AL452">
        <v>5.1535750000000012E-2</v>
      </c>
      <c r="AM452">
        <f>VLOOKUP(D452,[1]Sheet1!$C$1:$D$191,2,FALSE)</f>
        <v>57</v>
      </c>
    </row>
    <row r="453" spans="1:39" x14ac:dyDescent="0.35">
      <c r="A453">
        <v>2019</v>
      </c>
      <c r="B453" t="s">
        <v>60</v>
      </c>
      <c r="C453">
        <v>57</v>
      </c>
      <c r="D453" t="s">
        <v>261</v>
      </c>
      <c r="E453">
        <v>10996599.272805581</v>
      </c>
      <c r="F453">
        <v>649067727.31968784</v>
      </c>
      <c r="G453">
        <v>660064326.59249341</v>
      </c>
      <c r="H453">
        <v>355846209596.50098</v>
      </c>
      <c r="I453">
        <v>399651065197.87097</v>
      </c>
      <c r="J453">
        <v>3.7851414522464544E-2</v>
      </c>
      <c r="K453">
        <v>39302.6518220125</v>
      </c>
      <c r="L453">
        <v>1.8226921241458496E-2</v>
      </c>
      <c r="M453">
        <v>38599.108904028297</v>
      </c>
      <c r="N453">
        <v>0.84978312826417002</v>
      </c>
      <c r="O453">
        <v>56.666503396019998</v>
      </c>
      <c r="P453">
        <v>64.611325761831907</v>
      </c>
      <c r="Q453">
        <v>35.269058018722497</v>
      </c>
      <c r="R453">
        <v>9054000</v>
      </c>
      <c r="S453">
        <v>1.9273202143468275E-2</v>
      </c>
      <c r="T453">
        <v>29.837</v>
      </c>
      <c r="U453">
        <v>7.86</v>
      </c>
      <c r="V453">
        <v>133.15485000000001</v>
      </c>
      <c r="W453">
        <v>2.521166</v>
      </c>
      <c r="X453">
        <v>73.245829999999998</v>
      </c>
      <c r="Y453">
        <v>86.787899999999993</v>
      </c>
      <c r="Z453">
        <v>55.944538116455099</v>
      </c>
      <c r="AA453">
        <v>2021</v>
      </c>
      <c r="AB453">
        <v>2023</v>
      </c>
      <c r="AC453">
        <v>0</v>
      </c>
      <c r="AD453">
        <v>0</v>
      </c>
      <c r="AE453">
        <v>2</v>
      </c>
      <c r="AF453">
        <v>1</v>
      </c>
      <c r="AJ453">
        <v>1.01171886920929</v>
      </c>
      <c r="AK453">
        <v>1.269910454750061</v>
      </c>
      <c r="AL453">
        <v>9.5324925000000005E-2</v>
      </c>
      <c r="AM453">
        <f>VLOOKUP(D453,[1]Sheet1!$C$1:$D$191,2,FALSE)</f>
        <v>57</v>
      </c>
    </row>
    <row r="454" spans="1:39" x14ac:dyDescent="0.35">
      <c r="A454">
        <v>2020</v>
      </c>
      <c r="B454" t="s">
        <v>60</v>
      </c>
      <c r="C454">
        <v>57</v>
      </c>
      <c r="D454" t="s">
        <v>261</v>
      </c>
      <c r="E454">
        <v>16173612.282741381</v>
      </c>
      <c r="F454">
        <v>631106655.75662005</v>
      </c>
      <c r="G454">
        <v>647280268.03936136</v>
      </c>
      <c r="H454">
        <v>350634465931.99298</v>
      </c>
      <c r="I454">
        <v>411728563086.63202</v>
      </c>
      <c r="J454">
        <v>-1.4646056425380125E-2</v>
      </c>
      <c r="K454">
        <v>38049.990334558803</v>
      </c>
      <c r="L454">
        <v>-3.1872187483087608E-2</v>
      </c>
      <c r="M454">
        <v>39302.6518220125</v>
      </c>
      <c r="N454">
        <v>-0.61441235846577003</v>
      </c>
      <c r="O454">
        <v>51.151300476167997</v>
      </c>
      <c r="P454">
        <v>67.803693598460001</v>
      </c>
      <c r="Q454">
        <v>41.632993490027097</v>
      </c>
      <c r="R454">
        <v>9215100</v>
      </c>
      <c r="S454">
        <v>1.7793240556660039E-2</v>
      </c>
      <c r="T454">
        <v>26.861999999999998</v>
      </c>
      <c r="U454">
        <v>7.84</v>
      </c>
      <c r="V454">
        <v>133.32472999999999</v>
      </c>
      <c r="W454">
        <v>2.3492099999999998</v>
      </c>
      <c r="X454">
        <v>74.458020000000005</v>
      </c>
      <c r="Y454">
        <v>90.127300000000005</v>
      </c>
      <c r="Z454">
        <v>56.427219390869098</v>
      </c>
      <c r="AA454">
        <v>2021</v>
      </c>
      <c r="AB454">
        <v>2023</v>
      </c>
      <c r="AC454">
        <v>0</v>
      </c>
      <c r="AD454">
        <v>0</v>
      </c>
      <c r="AE454">
        <v>2</v>
      </c>
      <c r="AF454">
        <v>1</v>
      </c>
      <c r="AJ454">
        <v>0.93562602996826172</v>
      </c>
      <c r="AK454">
        <v>1.234421491622925</v>
      </c>
      <c r="AL454">
        <v>6.2593875000000007E-2</v>
      </c>
      <c r="AM454">
        <f>VLOOKUP(D454,[1]Sheet1!$C$1:$D$191,2,FALSE)</f>
        <v>57</v>
      </c>
    </row>
    <row r="455" spans="1:39" x14ac:dyDescent="0.35">
      <c r="A455">
        <v>2013</v>
      </c>
      <c r="B455" t="s">
        <v>61</v>
      </c>
      <c r="C455">
        <v>58</v>
      </c>
      <c r="D455" t="s">
        <v>262</v>
      </c>
      <c r="E455">
        <v>1593752.4</v>
      </c>
      <c r="G455">
        <v>1593752.4</v>
      </c>
      <c r="H455">
        <v>1829252559153.3301</v>
      </c>
      <c r="I455">
        <v>2153225581941.46</v>
      </c>
      <c r="J455">
        <v>-1.8180250610423717E-2</v>
      </c>
      <c r="K455">
        <v>30369.129367932601</v>
      </c>
      <c r="L455">
        <v>-2.9496289639423478E-2</v>
      </c>
      <c r="M455">
        <v>31292.1311312137</v>
      </c>
      <c r="N455">
        <v>1.21999342274306</v>
      </c>
      <c r="O455">
        <v>54.034184631749902</v>
      </c>
      <c r="P455">
        <v>90.365664201938699</v>
      </c>
      <c r="Q455">
        <v>43.481224210270398</v>
      </c>
      <c r="R455">
        <v>60233948</v>
      </c>
      <c r="S455">
        <v>1.1659964725730894E-2</v>
      </c>
      <c r="T455">
        <v>35.188000000000002</v>
      </c>
      <c r="U455">
        <v>7.85</v>
      </c>
      <c r="V455">
        <v>92.450331000000006</v>
      </c>
      <c r="W455">
        <v>1.2996540000000001</v>
      </c>
      <c r="X455">
        <v>62.771099999999997</v>
      </c>
      <c r="Y455">
        <v>58.459299999999999</v>
      </c>
      <c r="Z455">
        <v>60.892528533935497</v>
      </c>
      <c r="AA455">
        <v>2018</v>
      </c>
      <c r="AB455">
        <v>2019</v>
      </c>
      <c r="AC455">
        <v>0</v>
      </c>
      <c r="AD455">
        <v>0</v>
      </c>
      <c r="AE455">
        <v>1</v>
      </c>
      <c r="AF455">
        <v>1</v>
      </c>
      <c r="AJ455">
        <v>0.43625941872596741</v>
      </c>
      <c r="AK455">
        <v>0.77893811464309692</v>
      </c>
      <c r="AL455">
        <v>0.11529440000000001</v>
      </c>
      <c r="AM455">
        <f>VLOOKUP(D455,[1]Sheet1!$C$1:$D$191,2,FALSE)</f>
        <v>58</v>
      </c>
    </row>
    <row r="456" spans="1:39" x14ac:dyDescent="0.35">
      <c r="A456">
        <v>2014</v>
      </c>
      <c r="B456" t="s">
        <v>61</v>
      </c>
      <c r="C456">
        <v>58</v>
      </c>
      <c r="D456" t="s">
        <v>262</v>
      </c>
      <c r="E456">
        <v>4693032.2249999996</v>
      </c>
      <c r="F456">
        <v>3321325</v>
      </c>
      <c r="G456">
        <v>8014357.2249999996</v>
      </c>
      <c r="H456">
        <v>1829227175717.4099</v>
      </c>
      <c r="I456">
        <v>2173255507985.8401</v>
      </c>
      <c r="J456">
        <v>-1.3876397653867295E-5</v>
      </c>
      <c r="K456">
        <v>30091.348153920499</v>
      </c>
      <c r="L456">
        <v>-9.1468283679352787E-3</v>
      </c>
      <c r="M456">
        <v>30369.129367932601</v>
      </c>
      <c r="N456">
        <v>0.241047429826756</v>
      </c>
      <c r="O456">
        <v>54.454529933203197</v>
      </c>
      <c r="P456">
        <v>88.187471051348993</v>
      </c>
      <c r="Q456">
        <v>43.419262903846899</v>
      </c>
      <c r="R456">
        <v>60789140</v>
      </c>
      <c r="S456">
        <v>9.2172606716730571E-3</v>
      </c>
      <c r="T456">
        <v>34.893000000000001</v>
      </c>
      <c r="U456">
        <v>7.85</v>
      </c>
      <c r="V456">
        <v>92.451057000000006</v>
      </c>
      <c r="W456">
        <v>1.325132</v>
      </c>
      <c r="X456">
        <v>64.387230000000002</v>
      </c>
      <c r="Y456">
        <v>55.638500000000001</v>
      </c>
      <c r="Z456">
        <v>60.883148193359403</v>
      </c>
      <c r="AA456">
        <v>2018</v>
      </c>
      <c r="AB456">
        <v>2019</v>
      </c>
      <c r="AC456">
        <v>0</v>
      </c>
      <c r="AD456">
        <v>0</v>
      </c>
      <c r="AE456">
        <v>1</v>
      </c>
      <c r="AF456">
        <v>1</v>
      </c>
      <c r="AJ456">
        <v>0.4221472442150116</v>
      </c>
      <c r="AK456">
        <v>0.63806569576263428</v>
      </c>
      <c r="AL456">
        <v>7.8867099999999996E-2</v>
      </c>
      <c r="AM456">
        <f>VLOOKUP(D456,[1]Sheet1!$C$1:$D$191,2,FALSE)</f>
        <v>58</v>
      </c>
    </row>
    <row r="457" spans="1:39" x14ac:dyDescent="0.35">
      <c r="A457">
        <v>2015</v>
      </c>
      <c r="B457" t="s">
        <v>61</v>
      </c>
      <c r="C457">
        <v>58</v>
      </c>
      <c r="D457" t="s">
        <v>262</v>
      </c>
      <c r="E457">
        <v>18482031.663403969</v>
      </c>
      <c r="F457">
        <v>16612221.60372298</v>
      </c>
      <c r="G457">
        <v>35094253.267126948</v>
      </c>
      <c r="H457">
        <v>1845428048839.1001</v>
      </c>
      <c r="I457">
        <v>1845428048839.1001</v>
      </c>
      <c r="J457">
        <v>8.8566763804699758E-3</v>
      </c>
      <c r="K457">
        <v>30387.129318785399</v>
      </c>
      <c r="L457">
        <v>9.8294421157851652E-3</v>
      </c>
      <c r="M457">
        <v>30091.348153920499</v>
      </c>
      <c r="N457">
        <v>3.8790399657973297E-2</v>
      </c>
      <c r="O457">
        <v>55.435685814822101</v>
      </c>
      <c r="P457">
        <v>86.915852957085903</v>
      </c>
      <c r="Q457">
        <v>43.409528066179199</v>
      </c>
      <c r="R457">
        <v>60730582</v>
      </c>
      <c r="S457">
        <v>-9.6329706260032629E-4</v>
      </c>
      <c r="T457">
        <v>34.534999999999997</v>
      </c>
      <c r="U457">
        <v>7.98</v>
      </c>
      <c r="V457">
        <v>96.251692000000006</v>
      </c>
      <c r="W457">
        <v>1.1654420000000001</v>
      </c>
      <c r="X457">
        <v>61.46405</v>
      </c>
      <c r="Y457">
        <v>58.1417</v>
      </c>
      <c r="Z457">
        <v>60.941291809082003</v>
      </c>
      <c r="AA457">
        <v>2018</v>
      </c>
      <c r="AB457">
        <v>2019</v>
      </c>
      <c r="AC457">
        <v>0</v>
      </c>
      <c r="AD457">
        <v>0</v>
      </c>
      <c r="AE457">
        <v>1</v>
      </c>
      <c r="AF457">
        <v>1</v>
      </c>
      <c r="AJ457">
        <v>0.28835383057594299</v>
      </c>
      <c r="AK457">
        <v>0.71253693103790283</v>
      </c>
      <c r="AL457">
        <v>6.6409375000000007E-2</v>
      </c>
      <c r="AM457">
        <f>VLOOKUP(D457,[1]Sheet1!$C$1:$D$191,2,FALSE)</f>
        <v>58</v>
      </c>
    </row>
    <row r="458" spans="1:39" x14ac:dyDescent="0.35">
      <c r="A458">
        <v>2016</v>
      </c>
      <c r="B458" t="s">
        <v>61</v>
      </c>
      <c r="C458">
        <v>58</v>
      </c>
      <c r="D458" t="s">
        <v>262</v>
      </c>
      <c r="E458">
        <v>24458222.858090609</v>
      </c>
      <c r="F458">
        <v>116150755.492452</v>
      </c>
      <c r="G458">
        <v>140608978.3505426</v>
      </c>
      <c r="H458">
        <v>1868241619898.4199</v>
      </c>
      <c r="I458">
        <v>1887111188176.9299</v>
      </c>
      <c r="J458">
        <v>1.2362211072748739E-2</v>
      </c>
      <c r="K458">
        <v>30815.086908228099</v>
      </c>
      <c r="L458">
        <v>1.4083514930057424E-2</v>
      </c>
      <c r="M458">
        <v>30387.129318785399</v>
      </c>
      <c r="N458">
        <v>-9.4016656915749994E-2</v>
      </c>
      <c r="O458">
        <v>54.4321467018313</v>
      </c>
      <c r="P458">
        <v>84.491734701221503</v>
      </c>
      <c r="Q458">
        <v>43.041740692927398</v>
      </c>
      <c r="R458">
        <v>60627498</v>
      </c>
      <c r="S458">
        <v>-1.6973985199087997E-3</v>
      </c>
      <c r="T458">
        <v>34.924999999999997</v>
      </c>
      <c r="U458">
        <v>7.98</v>
      </c>
      <c r="V458">
        <v>94.092460000000003</v>
      </c>
      <c r="W458">
        <v>1.059196</v>
      </c>
      <c r="X458">
        <v>66.081130000000002</v>
      </c>
      <c r="Y458">
        <v>61.324300000000001</v>
      </c>
      <c r="Z458">
        <v>61.357101440429702</v>
      </c>
      <c r="AA458">
        <v>2018</v>
      </c>
      <c r="AB458">
        <v>2019</v>
      </c>
      <c r="AC458">
        <v>0</v>
      </c>
      <c r="AD458">
        <v>0</v>
      </c>
      <c r="AE458">
        <v>1</v>
      </c>
      <c r="AF458">
        <v>1</v>
      </c>
      <c r="AJ458">
        <v>0.36641502380371088</v>
      </c>
      <c r="AK458">
        <v>0.69788450002670288</v>
      </c>
      <c r="AL458">
        <v>0.121673875</v>
      </c>
      <c r="AM458">
        <f>VLOOKUP(D458,[1]Sheet1!$C$1:$D$191,2,FALSE)</f>
        <v>58</v>
      </c>
    </row>
    <row r="459" spans="1:39" x14ac:dyDescent="0.35">
      <c r="A459">
        <v>2017</v>
      </c>
      <c r="B459" t="s">
        <v>61</v>
      </c>
      <c r="C459">
        <v>58</v>
      </c>
      <c r="D459" t="s">
        <v>262</v>
      </c>
      <c r="E459">
        <v>19790197.08469592</v>
      </c>
      <c r="F459">
        <v>252121829.82765001</v>
      </c>
      <c r="G459">
        <v>271919936.14234596</v>
      </c>
      <c r="H459">
        <v>1898202609756.9199</v>
      </c>
      <c r="I459">
        <v>1970720904584.71</v>
      </c>
      <c r="J459">
        <v>1.6036999464838515E-2</v>
      </c>
      <c r="K459">
        <v>31356.224035186999</v>
      </c>
      <c r="L459">
        <v>1.7560785357201378E-2</v>
      </c>
      <c r="M459">
        <v>30815.086908228099</v>
      </c>
      <c r="N459">
        <v>1.22653316645812</v>
      </c>
      <c r="O459">
        <v>57.582994027491097</v>
      </c>
      <c r="P459">
        <v>80.416717063353104</v>
      </c>
      <c r="Q459">
        <v>42.713900256406902</v>
      </c>
      <c r="R459">
        <v>60536709</v>
      </c>
      <c r="S459">
        <v>-1.4974888127496206E-3</v>
      </c>
      <c r="T459">
        <v>35.087000000000003</v>
      </c>
      <c r="U459">
        <v>7.98</v>
      </c>
      <c r="V459">
        <v>92.378017</v>
      </c>
      <c r="W459">
        <v>1.380188</v>
      </c>
      <c r="X459">
        <v>60.779249999999998</v>
      </c>
      <c r="Y459">
        <v>63.077300000000001</v>
      </c>
      <c r="Z459">
        <v>62.69580078125</v>
      </c>
      <c r="AA459">
        <v>2018</v>
      </c>
      <c r="AB459">
        <v>2019</v>
      </c>
      <c r="AC459">
        <v>0</v>
      </c>
      <c r="AD459">
        <v>0</v>
      </c>
      <c r="AE459">
        <v>1</v>
      </c>
      <c r="AF459">
        <v>1</v>
      </c>
      <c r="AJ459">
        <v>0.31913381814956671</v>
      </c>
      <c r="AK459">
        <v>0.69127947092056274</v>
      </c>
      <c r="AL459">
        <v>0.12785997499999999</v>
      </c>
      <c r="AM459">
        <f>VLOOKUP(D459,[1]Sheet1!$C$1:$D$191,2,FALSE)</f>
        <v>58</v>
      </c>
    </row>
    <row r="460" spans="1:39" x14ac:dyDescent="0.35">
      <c r="A460">
        <v>2018</v>
      </c>
      <c r="B460" t="s">
        <v>61</v>
      </c>
      <c r="C460">
        <v>58</v>
      </c>
      <c r="D460" t="s">
        <v>262</v>
      </c>
      <c r="E460">
        <v>37191702.136962987</v>
      </c>
      <c r="F460">
        <v>495391705.97719991</v>
      </c>
      <c r="G460">
        <v>532583408.11416286</v>
      </c>
      <c r="H460">
        <v>1913894038939.75</v>
      </c>
      <c r="I460">
        <v>2099435266458.6699</v>
      </c>
      <c r="J460">
        <v>8.2664669736385466E-3</v>
      </c>
      <c r="K460">
        <v>31675.575801495099</v>
      </c>
      <c r="L460">
        <v>1.0184637217470234E-2</v>
      </c>
      <c r="M460">
        <v>31356.224035186999</v>
      </c>
      <c r="N460">
        <v>1.1374876360039099</v>
      </c>
      <c r="O460">
        <v>59.274983512815403</v>
      </c>
      <c r="P460">
        <v>76.448222815383403</v>
      </c>
      <c r="Q460">
        <v>42.394620959008499</v>
      </c>
      <c r="R460">
        <v>60421760</v>
      </c>
      <c r="S460">
        <v>-1.8988313355455116E-3</v>
      </c>
      <c r="T460">
        <v>34.915999999999997</v>
      </c>
      <c r="U460">
        <v>7.71</v>
      </c>
      <c r="V460">
        <v>91.044021999999998</v>
      </c>
      <c r="W460">
        <v>1.2489380000000001</v>
      </c>
      <c r="X460">
        <v>62.513350000000003</v>
      </c>
      <c r="Y460">
        <v>74.387200000000007</v>
      </c>
      <c r="Z460">
        <v>64.475326538085895</v>
      </c>
      <c r="AA460">
        <v>2018</v>
      </c>
      <c r="AB460">
        <v>2019</v>
      </c>
      <c r="AC460">
        <v>1</v>
      </c>
      <c r="AD460">
        <v>0</v>
      </c>
      <c r="AE460">
        <v>1</v>
      </c>
      <c r="AF460">
        <v>1</v>
      </c>
      <c r="AG460">
        <v>0</v>
      </c>
      <c r="AJ460">
        <v>0.24062387645244601</v>
      </c>
      <c r="AK460">
        <v>0.71514827013015747</v>
      </c>
      <c r="AL460">
        <v>0.103339375</v>
      </c>
      <c r="AM460">
        <f>VLOOKUP(D460,[1]Sheet1!$C$1:$D$191,2,FALSE)</f>
        <v>58</v>
      </c>
    </row>
    <row r="461" spans="1:39" x14ac:dyDescent="0.35">
      <c r="A461">
        <v>2019</v>
      </c>
      <c r="B461" t="s">
        <v>61</v>
      </c>
      <c r="C461">
        <v>58</v>
      </c>
      <c r="D461" t="s">
        <v>262</v>
      </c>
      <c r="E461">
        <v>85409681.986040145</v>
      </c>
      <c r="F461">
        <v>1499747300.5855689</v>
      </c>
      <c r="G461">
        <v>1585156982.5716085</v>
      </c>
      <c r="H461">
        <v>1922107755102.45</v>
      </c>
      <c r="I461">
        <v>2019606796583.53</v>
      </c>
      <c r="J461">
        <v>4.291625343715552E-3</v>
      </c>
      <c r="K461">
        <v>32180.4341021496</v>
      </c>
      <c r="L461">
        <v>1.5938409575199319E-2</v>
      </c>
      <c r="M461">
        <v>31675.575801495099</v>
      </c>
      <c r="N461">
        <v>0.61124694376530397</v>
      </c>
      <c r="O461">
        <v>58.6941902594738</v>
      </c>
      <c r="P461">
        <v>73.440406973843807</v>
      </c>
      <c r="Q461">
        <v>42.110136941714103</v>
      </c>
      <c r="R461">
        <v>59729081</v>
      </c>
      <c r="S461">
        <v>-1.1464065263904925E-2</v>
      </c>
      <c r="T461">
        <v>34.591000000000001</v>
      </c>
      <c r="U461">
        <v>7.52</v>
      </c>
      <c r="V461">
        <v>91.025201999999993</v>
      </c>
      <c r="W461">
        <v>1.156344</v>
      </c>
      <c r="X461">
        <v>62.595210000000002</v>
      </c>
      <c r="Y461">
        <v>67.850700000000003</v>
      </c>
      <c r="Z461">
        <v>65.689506530761705</v>
      </c>
      <c r="AA461">
        <v>2018</v>
      </c>
      <c r="AB461">
        <v>2019</v>
      </c>
      <c r="AC461">
        <v>1</v>
      </c>
      <c r="AD461">
        <v>1</v>
      </c>
      <c r="AE461">
        <v>1</v>
      </c>
      <c r="AF461">
        <v>1</v>
      </c>
      <c r="AG461">
        <v>1</v>
      </c>
      <c r="AH461">
        <v>0</v>
      </c>
      <c r="AJ461">
        <v>0.27241715788841248</v>
      </c>
      <c r="AK461">
        <v>0.94292372465133667</v>
      </c>
      <c r="AL461">
        <v>0.12916467500000001</v>
      </c>
      <c r="AM461">
        <f>VLOOKUP(D461,[1]Sheet1!$C$1:$D$191,2,FALSE)</f>
        <v>58</v>
      </c>
    </row>
    <row r="462" spans="1:39" x14ac:dyDescent="0.35">
      <c r="A462">
        <v>2020</v>
      </c>
      <c r="B462" t="s">
        <v>61</v>
      </c>
      <c r="C462">
        <v>58</v>
      </c>
      <c r="D462" t="s">
        <v>262</v>
      </c>
      <c r="E462">
        <v>110001432.3184804</v>
      </c>
      <c r="F462">
        <v>1880199255.8353391</v>
      </c>
      <c r="G462">
        <v>1990200688.1538196</v>
      </c>
      <c r="H462">
        <v>1751650987476.49</v>
      </c>
      <c r="I462">
        <v>1907481094079.23</v>
      </c>
      <c r="J462">
        <v>-8.8682212104635352E-2</v>
      </c>
      <c r="K462">
        <v>29469.7989279182</v>
      </c>
      <c r="L462">
        <v>-8.4232399277992767E-2</v>
      </c>
      <c r="M462">
        <v>32180.4341021496</v>
      </c>
      <c r="N462">
        <v>-0.13770757391651001</v>
      </c>
      <c r="O462">
        <v>53.9394839042764</v>
      </c>
      <c r="P462">
        <v>82.652824210414295</v>
      </c>
      <c r="Q462">
        <v>50.296827226201202</v>
      </c>
      <c r="R462">
        <v>59438851</v>
      </c>
      <c r="S462">
        <v>-4.8591070738222136E-3</v>
      </c>
      <c r="T462">
        <v>32.996000000000002</v>
      </c>
      <c r="U462">
        <v>7.74</v>
      </c>
      <c r="V462">
        <v>90.307581999999996</v>
      </c>
      <c r="W462">
        <v>1.158191</v>
      </c>
      <c r="X462">
        <v>64.990499999999997</v>
      </c>
      <c r="Y462">
        <v>70.483400000000003</v>
      </c>
      <c r="Z462">
        <v>68.723106384277301</v>
      </c>
      <c r="AA462">
        <v>2018</v>
      </c>
      <c r="AB462">
        <v>2019</v>
      </c>
      <c r="AC462">
        <v>1</v>
      </c>
      <c r="AD462">
        <v>1</v>
      </c>
      <c r="AE462">
        <v>1</v>
      </c>
      <c r="AF462">
        <v>1</v>
      </c>
      <c r="AG462">
        <v>2</v>
      </c>
      <c r="AH462">
        <v>1</v>
      </c>
      <c r="AJ462">
        <v>0.20668266713619229</v>
      </c>
      <c r="AK462">
        <v>0.48774081468582148</v>
      </c>
      <c r="AL462">
        <v>0.13605034999999999</v>
      </c>
      <c r="AM462">
        <f>VLOOKUP(D462,[1]Sheet1!$C$1:$D$191,2,FALSE)</f>
        <v>58</v>
      </c>
    </row>
    <row r="463" spans="1:39" x14ac:dyDescent="0.35">
      <c r="A463">
        <v>2013</v>
      </c>
      <c r="B463" t="s">
        <v>62</v>
      </c>
      <c r="C463">
        <v>59</v>
      </c>
      <c r="D463" t="s">
        <v>263</v>
      </c>
      <c r="E463">
        <v>10030</v>
      </c>
      <c r="G463">
        <v>10030</v>
      </c>
      <c r="H463">
        <v>13963061249.112499</v>
      </c>
      <c r="I463">
        <v>14264205152.6126</v>
      </c>
      <c r="J463">
        <v>5.1768601280202204E-3</v>
      </c>
      <c r="K463">
        <v>5016.0313458778</v>
      </c>
      <c r="L463">
        <v>1.1120080399624587E-3</v>
      </c>
      <c r="M463">
        <v>5010.4596744359196</v>
      </c>
      <c r="N463">
        <v>9.3415007656967308</v>
      </c>
      <c r="O463">
        <v>83.259571984001099</v>
      </c>
      <c r="P463">
        <v>29.769768786450101</v>
      </c>
      <c r="Q463">
        <v>25.015985849831299</v>
      </c>
      <c r="R463">
        <v>2783687</v>
      </c>
      <c r="S463">
        <v>4.0603369607167721E-3</v>
      </c>
      <c r="T463">
        <v>55.319000000000003</v>
      </c>
      <c r="U463">
        <v>7.39</v>
      </c>
      <c r="V463">
        <v>27.493769</v>
      </c>
      <c r="W463">
        <v>7.5336189999999998</v>
      </c>
      <c r="X463">
        <v>89.848590000000002</v>
      </c>
      <c r="Y463">
        <v>37.1</v>
      </c>
      <c r="Z463">
        <v>25.621214781761399</v>
      </c>
      <c r="AJ463">
        <v>-0.31950649619102478</v>
      </c>
      <c r="AK463">
        <v>0.18449260294437411</v>
      </c>
      <c r="AL463">
        <v>8.9432374999999995E-2</v>
      </c>
      <c r="AM463">
        <f>VLOOKUP(D463,[1]Sheet1!$C$1:$D$191,2,FALSE)</f>
        <v>59</v>
      </c>
    </row>
    <row r="464" spans="1:39" x14ac:dyDescent="0.35">
      <c r="A464">
        <v>2014</v>
      </c>
      <c r="B464" t="s">
        <v>62</v>
      </c>
      <c r="C464">
        <v>59</v>
      </c>
      <c r="D464" t="s">
        <v>263</v>
      </c>
      <c r="E464">
        <v>31603</v>
      </c>
      <c r="G464">
        <v>31603</v>
      </c>
      <c r="H464">
        <v>14059381567.382799</v>
      </c>
      <c r="I464">
        <v>13899217721.681801</v>
      </c>
      <c r="J464">
        <v>6.8982235737469165E-3</v>
      </c>
      <c r="K464">
        <v>5032.4426308099901</v>
      </c>
      <c r="L464">
        <v>3.2717668213291581E-3</v>
      </c>
      <c r="M464">
        <v>5016.0313458778</v>
      </c>
      <c r="N464">
        <v>8.2740788623141892</v>
      </c>
      <c r="O464">
        <v>84.740998623129997</v>
      </c>
      <c r="P464">
        <v>29.322951054638299</v>
      </c>
      <c r="Q464">
        <v>25.6804618517507</v>
      </c>
      <c r="R464">
        <v>2793749</v>
      </c>
      <c r="S464">
        <v>3.6146305241932732E-3</v>
      </c>
      <c r="T464">
        <v>56.281999999999996</v>
      </c>
      <c r="U464">
        <v>7.39</v>
      </c>
      <c r="V464">
        <v>30.048912999999999</v>
      </c>
      <c r="W464">
        <v>6.1651610000000003</v>
      </c>
      <c r="X464">
        <v>100</v>
      </c>
      <c r="Y464">
        <v>40.402700000000003</v>
      </c>
      <c r="AJ464">
        <v>-0.2370612174272537</v>
      </c>
      <c r="AK464">
        <v>7.360762357711792E-2</v>
      </c>
      <c r="AL464">
        <v>3.036705E-2</v>
      </c>
      <c r="AM464">
        <f>VLOOKUP(D464,[1]Sheet1!$C$1:$D$191,2,FALSE)</f>
        <v>59</v>
      </c>
    </row>
    <row r="465" spans="1:39" x14ac:dyDescent="0.35">
      <c r="A465">
        <v>2015</v>
      </c>
      <c r="B465" t="s">
        <v>62</v>
      </c>
      <c r="C465">
        <v>59</v>
      </c>
      <c r="D465" t="s">
        <v>263</v>
      </c>
      <c r="E465">
        <v>49328</v>
      </c>
      <c r="G465">
        <v>49328</v>
      </c>
      <c r="H465">
        <v>14188936958.434299</v>
      </c>
      <c r="I465">
        <v>14188936958.434299</v>
      </c>
      <c r="J465">
        <v>9.2148712538013492E-3</v>
      </c>
      <c r="K465">
        <v>5062.8955646690802</v>
      </c>
      <c r="L465">
        <v>6.0513226067693037E-3</v>
      </c>
      <c r="M465">
        <v>5032.4426308099901</v>
      </c>
      <c r="N465">
        <v>3.6915422885572502</v>
      </c>
      <c r="O465">
        <v>76.117521662347599</v>
      </c>
      <c r="P465">
        <v>30.0294657936454</v>
      </c>
      <c r="Q465">
        <v>25.786469538349898</v>
      </c>
      <c r="R465">
        <v>2802534</v>
      </c>
      <c r="S465">
        <v>3.144520141215263E-3</v>
      </c>
      <c r="U465">
        <v>7.39</v>
      </c>
      <c r="V465">
        <v>30.690016</v>
      </c>
      <c r="W465">
        <v>5.8944570000000001</v>
      </c>
      <c r="X465">
        <v>68.697739999999996</v>
      </c>
      <c r="Y465">
        <v>42.221200000000003</v>
      </c>
      <c r="Z465">
        <v>26.233414282194801</v>
      </c>
      <c r="AJ465">
        <v>-0.1914944797754288</v>
      </c>
      <c r="AK465">
        <v>1.530929934233427E-2</v>
      </c>
      <c r="AL465">
        <v>1.9690300000000001E-2</v>
      </c>
      <c r="AM465">
        <f>VLOOKUP(D465,[1]Sheet1!$C$1:$D$191,2,FALSE)</f>
        <v>59</v>
      </c>
    </row>
    <row r="466" spans="1:39" x14ac:dyDescent="0.35">
      <c r="A466">
        <v>2017</v>
      </c>
      <c r="B466" t="s">
        <v>62</v>
      </c>
      <c r="C466">
        <v>59</v>
      </c>
      <c r="D466" t="s">
        <v>263</v>
      </c>
      <c r="E466">
        <v>12481</v>
      </c>
      <c r="G466">
        <v>12481</v>
      </c>
      <c r="H466">
        <v>14527493336.382</v>
      </c>
      <c r="I466">
        <v>14808985171.344101</v>
      </c>
      <c r="J466">
        <v>9.971230623356437E-3</v>
      </c>
      <c r="K466">
        <v>5159.3433740831797</v>
      </c>
      <c r="L466">
        <v>7.8732843011747305E-3</v>
      </c>
      <c r="M466">
        <v>5119.0397190262802</v>
      </c>
      <c r="N466">
        <v>4.37839864991561</v>
      </c>
      <c r="O466">
        <v>83.523172517513004</v>
      </c>
      <c r="P466">
        <v>40.763073159746803</v>
      </c>
      <c r="Q466">
        <v>26.661600770438401</v>
      </c>
      <c r="R466">
        <v>2815764</v>
      </c>
      <c r="S466">
        <v>2.0815576271880111E-3</v>
      </c>
      <c r="T466">
        <v>57.192999999999998</v>
      </c>
      <c r="U466">
        <v>7.29</v>
      </c>
      <c r="V466">
        <v>33.567191999999999</v>
      </c>
      <c r="W466">
        <v>5.2749730000000001</v>
      </c>
      <c r="X466">
        <v>71.345780000000005</v>
      </c>
      <c r="Y466">
        <v>55.072099999999999</v>
      </c>
      <c r="AJ466">
        <v>-0.134216383099556</v>
      </c>
      <c r="AK466">
        <v>6.2044169753789902E-2</v>
      </c>
      <c r="AL466">
        <v>1.5755450000000001E-2</v>
      </c>
      <c r="AM466">
        <f>VLOOKUP(D466,[1]Sheet1!$C$1:$D$191,2,FALSE)</f>
        <v>59</v>
      </c>
    </row>
    <row r="467" spans="1:39" x14ac:dyDescent="0.35">
      <c r="A467">
        <v>2018</v>
      </c>
      <c r="B467" t="s">
        <v>62</v>
      </c>
      <c r="C467">
        <v>59</v>
      </c>
      <c r="D467" t="s">
        <v>263</v>
      </c>
      <c r="E467">
        <v>1413.8</v>
      </c>
      <c r="G467">
        <v>1413.8</v>
      </c>
      <c r="H467">
        <v>14802051873.232599</v>
      </c>
      <c r="I467">
        <v>15730792835.5811</v>
      </c>
      <c r="J467">
        <v>1.8899236812107652E-2</v>
      </c>
      <c r="K467">
        <v>5248.77402203987</v>
      </c>
      <c r="L467">
        <v>1.7333726692029341E-2</v>
      </c>
      <c r="M467">
        <v>5159.3433740831797</v>
      </c>
      <c r="N467">
        <v>3.73663882152163</v>
      </c>
      <c r="O467">
        <v>89.977906041235101</v>
      </c>
      <c r="P467">
        <v>43.140404419397797</v>
      </c>
      <c r="Q467">
        <v>26.557794719690399</v>
      </c>
      <c r="R467">
        <v>2820097</v>
      </c>
      <c r="S467">
        <v>1.5388363513419449E-3</v>
      </c>
      <c r="T467">
        <v>56.517000000000003</v>
      </c>
      <c r="U467">
        <v>7.02</v>
      </c>
      <c r="V467">
        <v>34.319068000000001</v>
      </c>
      <c r="W467">
        <v>5.1014699999999999</v>
      </c>
      <c r="X467">
        <v>71.983710000000002</v>
      </c>
      <c r="Y467">
        <v>68.214500000000001</v>
      </c>
      <c r="AJ467">
        <v>-0.21818675100803381</v>
      </c>
      <c r="AK467">
        <v>0.12909902632236481</v>
      </c>
      <c r="AL467">
        <v>3.2240049999999999E-2</v>
      </c>
      <c r="AM467">
        <f>VLOOKUP(D467,[1]Sheet1!$C$1:$D$191,2,FALSE)</f>
        <v>59</v>
      </c>
    </row>
    <row r="468" spans="1:39" x14ac:dyDescent="0.35">
      <c r="A468">
        <v>2019</v>
      </c>
      <c r="B468" t="s">
        <v>62</v>
      </c>
      <c r="C468">
        <v>59</v>
      </c>
      <c r="D468" t="s">
        <v>263</v>
      </c>
      <c r="E468">
        <v>94817.179117840002</v>
      </c>
      <c r="G468">
        <v>94817.179117840002</v>
      </c>
      <c r="H468">
        <v>14934129346.6919</v>
      </c>
      <c r="I468">
        <v>15830766570.726601</v>
      </c>
      <c r="J468">
        <v>8.9229165382229397E-3</v>
      </c>
      <c r="K468">
        <v>5289.6549239133801</v>
      </c>
      <c r="L468">
        <v>7.7886572563133959E-3</v>
      </c>
      <c r="M468">
        <v>5248.77402203987</v>
      </c>
      <c r="N468">
        <v>3.90510000865872</v>
      </c>
      <c r="O468">
        <v>90.1106076335994</v>
      </c>
      <c r="P468">
        <v>48.299438210366802</v>
      </c>
      <c r="Q468">
        <v>25.789937823933201</v>
      </c>
      <c r="R468">
        <v>2823271</v>
      </c>
      <c r="S468">
        <v>1.125493201120387E-3</v>
      </c>
      <c r="T468">
        <v>57.311999999999998</v>
      </c>
      <c r="U468">
        <v>6.96</v>
      </c>
      <c r="V468">
        <v>36.016679000000003</v>
      </c>
      <c r="W468">
        <v>5.0820470000000002</v>
      </c>
      <c r="X468">
        <v>71.720320000000001</v>
      </c>
      <c r="Y468">
        <v>70.840999999999994</v>
      </c>
      <c r="AJ468">
        <v>-0.31144770979881292</v>
      </c>
      <c r="AK468">
        <v>8.4404744207859039E-2</v>
      </c>
      <c r="AL468">
        <v>1.7099275000000001E-2</v>
      </c>
      <c r="AM468">
        <f>VLOOKUP(D468,[1]Sheet1!$C$1:$D$191,2,FALSE)</f>
        <v>59</v>
      </c>
    </row>
    <row r="469" spans="1:39" x14ac:dyDescent="0.35">
      <c r="A469">
        <v>2020</v>
      </c>
      <c r="B469" t="s">
        <v>62</v>
      </c>
      <c r="C469">
        <v>59</v>
      </c>
      <c r="D469" t="s">
        <v>263</v>
      </c>
      <c r="E469">
        <v>7878.49</v>
      </c>
      <c r="G469">
        <v>7878.49</v>
      </c>
      <c r="H469">
        <v>13452615560.565599</v>
      </c>
      <c r="I469">
        <v>13812421803.4084</v>
      </c>
      <c r="J469">
        <v>-9.9203224488910363E-2</v>
      </c>
      <c r="K469">
        <v>4752.3334226735897</v>
      </c>
      <c r="L469">
        <v>-0.10157968883956432</v>
      </c>
      <c r="M469">
        <v>5289.6549239133801</v>
      </c>
      <c r="N469">
        <v>5.2267777929352004</v>
      </c>
      <c r="P469">
        <v>56.862294121468103</v>
      </c>
      <c r="Q469">
        <v>29.829620488054999</v>
      </c>
      <c r="R469">
        <v>2830739</v>
      </c>
      <c r="S469">
        <v>2.6451587538001134E-3</v>
      </c>
      <c r="T469">
        <v>58.27</v>
      </c>
      <c r="U469">
        <v>7.13</v>
      </c>
      <c r="V469">
        <v>39.700583999999999</v>
      </c>
      <c r="W469">
        <v>4.6097229999999998</v>
      </c>
      <c r="X469">
        <v>72.061490000000006</v>
      </c>
      <c r="Y469">
        <v>76.384</v>
      </c>
      <c r="AI469">
        <v>1</v>
      </c>
      <c r="AJ469">
        <v>-0.2413944602012634</v>
      </c>
      <c r="AK469">
        <v>4.2481515556573868E-2</v>
      </c>
      <c r="AL469">
        <v>4.2485700000000001E-2</v>
      </c>
      <c r="AM469">
        <f>VLOOKUP(D469,[1]Sheet1!$C$1:$D$191,2,FALSE)</f>
        <v>59</v>
      </c>
    </row>
    <row r="470" spans="1:39" x14ac:dyDescent="0.35">
      <c r="A470">
        <v>2013</v>
      </c>
      <c r="B470" t="s">
        <v>63</v>
      </c>
      <c r="C470">
        <v>60</v>
      </c>
      <c r="D470" t="s">
        <v>264</v>
      </c>
      <c r="E470">
        <v>8245480.48775688</v>
      </c>
      <c r="F470">
        <v>78537634</v>
      </c>
      <c r="G470">
        <v>86783114.487756878</v>
      </c>
      <c r="H470">
        <v>4363702302795.8599</v>
      </c>
      <c r="I470">
        <v>5212328181166.1797</v>
      </c>
      <c r="J470">
        <v>2.005100176772508E-2</v>
      </c>
      <c r="K470">
        <v>34239.886247368297</v>
      </c>
      <c r="L470">
        <v>2.1523710656464277E-2</v>
      </c>
      <c r="M470">
        <v>33518.444936892003</v>
      </c>
      <c r="N470">
        <v>0.33503791218474099</v>
      </c>
      <c r="O470">
        <v>33.978768650951103</v>
      </c>
      <c r="P470">
        <v>163.135879926228</v>
      </c>
      <c r="Q470">
        <v>18.140650905463801</v>
      </c>
      <c r="R470">
        <v>127445000</v>
      </c>
      <c r="S470">
        <v>-1.4416786153617124E-3</v>
      </c>
      <c r="U470">
        <v>8.08</v>
      </c>
      <c r="V470">
        <v>128.32341</v>
      </c>
      <c r="W470">
        <v>0.88760380000000005</v>
      </c>
      <c r="X470">
        <v>43.002400000000002</v>
      </c>
      <c r="Y470">
        <v>88.219399999999993</v>
      </c>
      <c r="Z470">
        <v>62.838188171386697</v>
      </c>
      <c r="AA470">
        <v>2018</v>
      </c>
      <c r="AB470">
        <v>2020</v>
      </c>
      <c r="AC470">
        <v>0</v>
      </c>
      <c r="AD470">
        <v>0</v>
      </c>
      <c r="AE470">
        <v>2</v>
      </c>
      <c r="AF470">
        <v>0</v>
      </c>
      <c r="AJ470">
        <v>1.435884833335876</v>
      </c>
      <c r="AK470">
        <v>1.1089547872543331</v>
      </c>
      <c r="AL470">
        <v>5.9553975000000009E-2</v>
      </c>
      <c r="AM470">
        <f>VLOOKUP(D470,[1]Sheet1!$C$1:$D$191,2,FALSE)</f>
        <v>60</v>
      </c>
    </row>
    <row r="471" spans="1:39" x14ac:dyDescent="0.35">
      <c r="A471">
        <v>2014</v>
      </c>
      <c r="B471" t="s">
        <v>63</v>
      </c>
      <c r="C471">
        <v>60</v>
      </c>
      <c r="D471" t="s">
        <v>264</v>
      </c>
      <c r="E471">
        <v>7363025.3769168695</v>
      </c>
      <c r="F471">
        <v>107631887</v>
      </c>
      <c r="G471">
        <v>114994912.37691687</v>
      </c>
      <c r="H471">
        <v>4376627829637.5098</v>
      </c>
      <c r="I471">
        <v>4896994405353.29</v>
      </c>
      <c r="J471">
        <v>2.9620551414262179E-3</v>
      </c>
      <c r="K471">
        <v>34386.905855286997</v>
      </c>
      <c r="L471">
        <v>4.2938112252052484E-3</v>
      </c>
      <c r="M471">
        <v>34239.886247368297</v>
      </c>
      <c r="N471">
        <v>2.7592267135325299</v>
      </c>
      <c r="O471">
        <v>37.431434568657899</v>
      </c>
      <c r="P471">
        <v>163.89384573573</v>
      </c>
      <c r="Q471">
        <v>17.574164772913502</v>
      </c>
      <c r="R471">
        <v>127276000</v>
      </c>
      <c r="S471">
        <v>-1.3260622229196908E-3</v>
      </c>
      <c r="U471">
        <v>8.08</v>
      </c>
      <c r="V471">
        <v>127.51837</v>
      </c>
      <c r="W471">
        <v>0.91507459999999996</v>
      </c>
      <c r="X471">
        <v>44.754109999999997</v>
      </c>
      <c r="Y471">
        <v>89.106800000000007</v>
      </c>
      <c r="Z471">
        <v>62.7269897460938</v>
      </c>
      <c r="AA471">
        <v>2018</v>
      </c>
      <c r="AB471">
        <v>2020</v>
      </c>
      <c r="AC471">
        <v>0</v>
      </c>
      <c r="AD471">
        <v>0</v>
      </c>
      <c r="AE471">
        <v>2</v>
      </c>
      <c r="AF471">
        <v>0</v>
      </c>
      <c r="AJ471">
        <v>1.5978736877441411</v>
      </c>
      <c r="AK471">
        <v>1.137973308563232</v>
      </c>
      <c r="AL471">
        <v>4.2941725E-2</v>
      </c>
      <c r="AM471">
        <f>VLOOKUP(D471,[1]Sheet1!$C$1:$D$191,2,FALSE)</f>
        <v>60</v>
      </c>
    </row>
    <row r="472" spans="1:39" x14ac:dyDescent="0.35">
      <c r="A472">
        <v>2015</v>
      </c>
      <c r="B472" t="s">
        <v>63</v>
      </c>
      <c r="C472">
        <v>60</v>
      </c>
      <c r="D472" t="s">
        <v>264</v>
      </c>
      <c r="E472">
        <v>25647782.5685293</v>
      </c>
      <c r="F472">
        <v>326003393</v>
      </c>
      <c r="G472">
        <v>351651175.56852931</v>
      </c>
      <c r="H472">
        <v>4444930651964.1797</v>
      </c>
      <c r="I472">
        <v>4444930651964.1797</v>
      </c>
      <c r="J472">
        <v>1.5606266967490137E-2</v>
      </c>
      <c r="K472">
        <v>34960.639384338501</v>
      </c>
      <c r="L472">
        <v>1.6684651171175152E-2</v>
      </c>
      <c r="M472">
        <v>34386.905855286997</v>
      </c>
      <c r="N472">
        <v>0.79527963057983897</v>
      </c>
      <c r="O472">
        <v>35.427408354479802</v>
      </c>
      <c r="P472">
        <v>163.044820915027</v>
      </c>
      <c r="Q472">
        <v>16.973850826428102</v>
      </c>
      <c r="R472">
        <v>127141000</v>
      </c>
      <c r="S472">
        <v>-1.0606870109054339E-3</v>
      </c>
      <c r="U472">
        <v>7.96</v>
      </c>
      <c r="V472">
        <v>127.64882</v>
      </c>
      <c r="W472">
        <v>0.8236812</v>
      </c>
      <c r="X472">
        <v>44.566119999999998</v>
      </c>
      <c r="Y472">
        <v>91.058000000000007</v>
      </c>
      <c r="Z472">
        <v>62.472660064697301</v>
      </c>
      <c r="AA472">
        <v>2018</v>
      </c>
      <c r="AB472">
        <v>2020</v>
      </c>
      <c r="AC472">
        <v>0</v>
      </c>
      <c r="AD472">
        <v>0</v>
      </c>
      <c r="AE472">
        <v>2</v>
      </c>
      <c r="AF472">
        <v>0</v>
      </c>
      <c r="AJ472">
        <v>1.4850738048553469</v>
      </c>
      <c r="AK472">
        <v>1.2036470174789431</v>
      </c>
      <c r="AL472">
        <v>4.7801175000000001E-2</v>
      </c>
      <c r="AM472">
        <f>VLOOKUP(D472,[1]Sheet1!$C$1:$D$191,2,FALSE)</f>
        <v>60</v>
      </c>
    </row>
    <row r="473" spans="1:39" x14ac:dyDescent="0.35">
      <c r="A473">
        <v>2016</v>
      </c>
      <c r="B473" t="s">
        <v>63</v>
      </c>
      <c r="C473">
        <v>60</v>
      </c>
      <c r="D473" t="s">
        <v>264</v>
      </c>
      <c r="E473">
        <v>25118293.409288932</v>
      </c>
      <c r="F473">
        <v>373334426.39999992</v>
      </c>
      <c r="G473">
        <v>398452719.8092888</v>
      </c>
      <c r="H473">
        <v>4478437728055.5498</v>
      </c>
      <c r="I473">
        <v>5003677627544.2402</v>
      </c>
      <c r="J473">
        <v>7.5382674590352954E-3</v>
      </c>
      <c r="K473">
        <v>35242.199377188103</v>
      </c>
      <c r="L473">
        <v>8.0536282461622592E-3</v>
      </c>
      <c r="M473">
        <v>34960.639384338501</v>
      </c>
      <c r="N473">
        <v>-0.127258844489754</v>
      </c>
      <c r="O473">
        <v>31.310246845588399</v>
      </c>
      <c r="P473">
        <v>163.917124662405</v>
      </c>
      <c r="Q473">
        <v>16.711244632733301</v>
      </c>
      <c r="R473">
        <v>127076000</v>
      </c>
      <c r="S473">
        <v>-5.1124342265673544E-4</v>
      </c>
      <c r="U473">
        <v>7.99</v>
      </c>
      <c r="V473">
        <v>127.68361</v>
      </c>
      <c r="W473">
        <v>0.75702539999999996</v>
      </c>
      <c r="X473">
        <v>43.96114</v>
      </c>
      <c r="Y473">
        <v>93.182699999999997</v>
      </c>
      <c r="Z473">
        <v>63.187229156494098</v>
      </c>
      <c r="AA473">
        <v>2018</v>
      </c>
      <c r="AB473">
        <v>2020</v>
      </c>
      <c r="AC473">
        <v>0</v>
      </c>
      <c r="AD473">
        <v>0</v>
      </c>
      <c r="AE473">
        <v>2</v>
      </c>
      <c r="AF473">
        <v>0</v>
      </c>
      <c r="AJ473">
        <v>1.3837323188781741</v>
      </c>
      <c r="AK473">
        <v>1.4165753126144409</v>
      </c>
      <c r="AL473">
        <v>4.5801849999999998E-2</v>
      </c>
      <c r="AM473">
        <f>VLOOKUP(D473,[1]Sheet1!$C$1:$D$191,2,FALSE)</f>
        <v>60</v>
      </c>
    </row>
    <row r="474" spans="1:39" x14ac:dyDescent="0.35">
      <c r="A474">
        <v>2017</v>
      </c>
      <c r="B474" t="s">
        <v>63</v>
      </c>
      <c r="C474">
        <v>60</v>
      </c>
      <c r="D474" t="s">
        <v>264</v>
      </c>
      <c r="E474">
        <v>112540534</v>
      </c>
      <c r="F474">
        <v>236109768</v>
      </c>
      <c r="G474">
        <v>348650302</v>
      </c>
      <c r="H474">
        <v>4553466417292.21</v>
      </c>
      <c r="I474">
        <v>4930837369151.4199</v>
      </c>
      <c r="J474">
        <v>1.6753317516650199E-2</v>
      </c>
      <c r="K474">
        <v>35861.972854583801</v>
      </c>
      <c r="L474">
        <v>1.7586118016143761E-2</v>
      </c>
      <c r="M474">
        <v>35242.199377188103</v>
      </c>
      <c r="N474">
        <v>0.48419979612638497</v>
      </c>
      <c r="O474">
        <v>34.423213572168599</v>
      </c>
      <c r="P474">
        <v>169.12109251400801</v>
      </c>
      <c r="Q474">
        <v>16.1953485344611</v>
      </c>
      <c r="R474">
        <v>126972000</v>
      </c>
      <c r="S474">
        <v>-8.1840788189744716E-4</v>
      </c>
      <c r="U474">
        <v>7.88</v>
      </c>
      <c r="V474">
        <v>127.47365000000001</v>
      </c>
      <c r="W474">
        <v>0.69448290000000001</v>
      </c>
      <c r="X474">
        <v>45.164470000000001</v>
      </c>
      <c r="Y474">
        <v>91.726500000000001</v>
      </c>
      <c r="Z474">
        <v>62.462978363037102</v>
      </c>
      <c r="AA474">
        <v>2018</v>
      </c>
      <c r="AB474">
        <v>2020</v>
      </c>
      <c r="AC474">
        <v>0</v>
      </c>
      <c r="AD474">
        <v>0</v>
      </c>
      <c r="AE474">
        <v>2</v>
      </c>
      <c r="AF474">
        <v>0</v>
      </c>
      <c r="AI474">
        <v>1</v>
      </c>
      <c r="AJ474">
        <v>1.5294550657272341</v>
      </c>
      <c r="AK474">
        <v>1.363643527030945</v>
      </c>
      <c r="AL474">
        <v>2.3915249999999999E-2</v>
      </c>
      <c r="AM474">
        <f>VLOOKUP(D474,[1]Sheet1!$C$1:$D$191,2,FALSE)</f>
        <v>60</v>
      </c>
    </row>
    <row r="475" spans="1:39" x14ac:dyDescent="0.35">
      <c r="A475">
        <v>2018</v>
      </c>
      <c r="B475" t="s">
        <v>63</v>
      </c>
      <c r="C475">
        <v>60</v>
      </c>
      <c r="D475" t="s">
        <v>264</v>
      </c>
      <c r="E475">
        <v>148625814.966912</v>
      </c>
      <c r="F475">
        <v>920401024.01999998</v>
      </c>
      <c r="G475">
        <v>1069026838.986912</v>
      </c>
      <c r="H475">
        <v>4582763011477.3496</v>
      </c>
      <c r="I475">
        <v>5040880939324.8604</v>
      </c>
      <c r="J475">
        <v>6.433910234603493E-3</v>
      </c>
      <c r="K475">
        <v>36138.529082471898</v>
      </c>
      <c r="L475">
        <v>7.7116847143212375E-3</v>
      </c>
      <c r="M475">
        <v>35861.972854583801</v>
      </c>
      <c r="N475">
        <v>0.98909459802184796</v>
      </c>
      <c r="O475">
        <v>36.609931802106999</v>
      </c>
      <c r="P475">
        <v>168.827107984279</v>
      </c>
      <c r="Q475">
        <v>16.0713191758764</v>
      </c>
      <c r="R475">
        <v>126811000</v>
      </c>
      <c r="S475">
        <v>-1.2679960936269415E-3</v>
      </c>
      <c r="U475">
        <v>7.99</v>
      </c>
      <c r="V475">
        <v>127.10053000000001</v>
      </c>
      <c r="W475">
        <v>0.62539060000000002</v>
      </c>
      <c r="X475">
        <v>45.24924</v>
      </c>
      <c r="Y475">
        <v>88.746399999999994</v>
      </c>
      <c r="Z475">
        <v>62.208938598632798</v>
      </c>
      <c r="AA475">
        <v>2018</v>
      </c>
      <c r="AB475">
        <v>2020</v>
      </c>
      <c r="AC475">
        <v>1</v>
      </c>
      <c r="AD475">
        <v>0</v>
      </c>
      <c r="AE475">
        <v>2</v>
      </c>
      <c r="AF475">
        <v>0</v>
      </c>
      <c r="AG475">
        <v>0</v>
      </c>
      <c r="AI475">
        <v>1</v>
      </c>
      <c r="AJ475">
        <v>1.493853688240051</v>
      </c>
      <c r="AK475">
        <v>1.3342278003692629</v>
      </c>
      <c r="AL475">
        <v>2.9649575000000001E-2</v>
      </c>
      <c r="AM475">
        <f>VLOOKUP(D475,[1]Sheet1!$C$1:$D$191,2,FALSE)</f>
        <v>60</v>
      </c>
    </row>
    <row r="476" spans="1:39" x14ac:dyDescent="0.35">
      <c r="A476">
        <v>2019</v>
      </c>
      <c r="B476" t="s">
        <v>63</v>
      </c>
      <c r="C476">
        <v>60</v>
      </c>
      <c r="D476" t="s">
        <v>264</v>
      </c>
      <c r="E476">
        <v>286442498.85851991</v>
      </c>
      <c r="F476">
        <v>312210007.11686921</v>
      </c>
      <c r="G476">
        <v>598652505.97538924</v>
      </c>
      <c r="H476">
        <v>4564332550094.4502</v>
      </c>
      <c r="I476">
        <v>5117993853016.5098</v>
      </c>
      <c r="J476">
        <v>-4.0216920091091443E-3</v>
      </c>
      <c r="K476">
        <v>36043.784401336503</v>
      </c>
      <c r="L476">
        <v>-2.6217082858900407E-3</v>
      </c>
      <c r="M476">
        <v>36138.529082471898</v>
      </c>
      <c r="N476">
        <v>0.46877615938395001</v>
      </c>
      <c r="O476">
        <v>35.216418108414501</v>
      </c>
      <c r="P476">
        <v>177.36885537974899</v>
      </c>
      <c r="Q476">
        <v>16.423897870412301</v>
      </c>
      <c r="R476">
        <v>126633000</v>
      </c>
      <c r="S476">
        <v>-1.4036637200242881E-3</v>
      </c>
      <c r="U476">
        <v>7.99</v>
      </c>
      <c r="V476">
        <v>123.7551</v>
      </c>
      <c r="W476">
        <v>0.59089150000000001</v>
      </c>
      <c r="X476">
        <v>45.419029999999999</v>
      </c>
      <c r="Y476">
        <v>92.730400000000003</v>
      </c>
      <c r="Z476">
        <v>62.118499755859403</v>
      </c>
      <c r="AA476">
        <v>2018</v>
      </c>
      <c r="AB476">
        <v>2020</v>
      </c>
      <c r="AC476">
        <v>1</v>
      </c>
      <c r="AD476">
        <v>0</v>
      </c>
      <c r="AE476">
        <v>2</v>
      </c>
      <c r="AF476">
        <v>0</v>
      </c>
      <c r="AG476">
        <v>1</v>
      </c>
      <c r="AI476">
        <v>1</v>
      </c>
      <c r="AJ476">
        <v>1.4964345693588259</v>
      </c>
      <c r="AK476">
        <v>1.3146489858627319</v>
      </c>
      <c r="AL476">
        <v>6.4074400000000004E-2</v>
      </c>
      <c r="AM476">
        <f>VLOOKUP(D476,[1]Sheet1!$C$1:$D$191,2,FALSE)</f>
        <v>60</v>
      </c>
    </row>
    <row r="477" spans="1:39" x14ac:dyDescent="0.35">
      <c r="A477">
        <v>2020</v>
      </c>
      <c r="B477" t="s">
        <v>63</v>
      </c>
      <c r="C477">
        <v>60</v>
      </c>
      <c r="D477" t="s">
        <v>264</v>
      </c>
      <c r="E477">
        <v>501165711.16990077</v>
      </c>
      <c r="F477">
        <v>654545597.8803978</v>
      </c>
      <c r="G477">
        <v>1155711309.0502985</v>
      </c>
      <c r="H477">
        <v>4375044252274.5098</v>
      </c>
      <c r="I477">
        <v>5055587093501.5898</v>
      </c>
      <c r="J477">
        <v>-4.1471188994768461E-2</v>
      </c>
      <c r="K477">
        <v>34650.7967802766</v>
      </c>
      <c r="L477">
        <v>-3.8647096696323907E-2</v>
      </c>
      <c r="M477">
        <v>36043.784401336503</v>
      </c>
      <c r="N477">
        <v>-2.4995834027731E-2</v>
      </c>
      <c r="O477">
        <v>31.325793124298599</v>
      </c>
      <c r="P477">
        <v>195.473558941861</v>
      </c>
      <c r="Q477">
        <v>23.598807872870399</v>
      </c>
      <c r="R477">
        <v>126261000</v>
      </c>
      <c r="S477">
        <v>-2.9376228945061714E-3</v>
      </c>
      <c r="U477">
        <v>8.1300000000000008</v>
      </c>
      <c r="V477">
        <v>121.29543</v>
      </c>
      <c r="W477">
        <v>0.55517879999999997</v>
      </c>
      <c r="X477">
        <v>45.63955</v>
      </c>
      <c r="Y477">
        <v>90.219499999999996</v>
      </c>
      <c r="Z477">
        <v>62.135841369628899</v>
      </c>
      <c r="AA477">
        <v>2018</v>
      </c>
      <c r="AB477">
        <v>2020</v>
      </c>
      <c r="AC477">
        <v>1</v>
      </c>
      <c r="AD477">
        <v>1</v>
      </c>
      <c r="AE477">
        <v>2</v>
      </c>
      <c r="AF477">
        <v>0</v>
      </c>
      <c r="AG477">
        <v>2</v>
      </c>
      <c r="AH477">
        <v>0</v>
      </c>
      <c r="AI477">
        <v>1</v>
      </c>
      <c r="AJ477">
        <v>1.4714804887771611</v>
      </c>
      <c r="AK477">
        <v>1.347087025642395</v>
      </c>
      <c r="AL477">
        <v>8.0323900000000004E-2</v>
      </c>
      <c r="AM477">
        <f>VLOOKUP(D477,[1]Sheet1!$C$1:$D$191,2,FALSE)</f>
        <v>60</v>
      </c>
    </row>
    <row r="478" spans="1:39" x14ac:dyDescent="0.35">
      <c r="A478">
        <v>2013</v>
      </c>
      <c r="B478" t="s">
        <v>64</v>
      </c>
      <c r="C478">
        <v>61</v>
      </c>
      <c r="D478" t="s">
        <v>265</v>
      </c>
      <c r="E478">
        <v>97457.814024373904</v>
      </c>
      <c r="F478">
        <v>1255500</v>
      </c>
      <c r="G478">
        <v>1352957.8140243739</v>
      </c>
      <c r="H478">
        <v>36414839440.074303</v>
      </c>
      <c r="I478">
        <v>34454440140.8451</v>
      </c>
      <c r="J478">
        <v>2.6099473754862504E-2</v>
      </c>
      <c r="K478">
        <v>4556.5202371671203</v>
      </c>
      <c r="L478">
        <v>-2.5859223861417278E-2</v>
      </c>
      <c r="M478">
        <v>4677.4761397719203</v>
      </c>
      <c r="N478">
        <v>4.8246231426953701</v>
      </c>
      <c r="O478">
        <v>111.45152799762801</v>
      </c>
      <c r="P478">
        <v>70.527225124094798</v>
      </c>
      <c r="Q478">
        <v>26.239999934594199</v>
      </c>
      <c r="R478">
        <v>7991809</v>
      </c>
      <c r="S478">
        <v>5.333797628535808E-2</v>
      </c>
      <c r="U478">
        <v>3.76</v>
      </c>
      <c r="V478">
        <v>24.899819999999998</v>
      </c>
      <c r="W478">
        <v>3.2184599999999999</v>
      </c>
      <c r="X478">
        <v>89.881739999999994</v>
      </c>
      <c r="Y478">
        <v>41.4</v>
      </c>
      <c r="AA478">
        <v>2022</v>
      </c>
      <c r="AB478">
        <v>2023</v>
      </c>
      <c r="AC478">
        <v>0</v>
      </c>
      <c r="AD478">
        <v>0</v>
      </c>
      <c r="AE478">
        <v>1</v>
      </c>
      <c r="AF478">
        <v>1</v>
      </c>
      <c r="AJ478">
        <v>0.37534171342849731</v>
      </c>
      <c r="AK478">
        <v>0.16557697951793671</v>
      </c>
      <c r="AL478">
        <v>2.3401675E-2</v>
      </c>
      <c r="AM478">
        <f>VLOOKUP(D478,[1]Sheet1!$C$1:$D$191,2,FALSE)</f>
        <v>61</v>
      </c>
    </row>
    <row r="479" spans="1:39" x14ac:dyDescent="0.35">
      <c r="A479">
        <v>2014</v>
      </c>
      <c r="B479" t="s">
        <v>64</v>
      </c>
      <c r="C479">
        <v>61</v>
      </c>
      <c r="D479" t="s">
        <v>265</v>
      </c>
      <c r="E479">
        <v>63113.513690825901</v>
      </c>
      <c r="F479">
        <v>1361300</v>
      </c>
      <c r="G479">
        <v>1424413.513690826</v>
      </c>
      <c r="H479">
        <v>37647146046.473801</v>
      </c>
      <c r="I479">
        <v>36847643521.126801</v>
      </c>
      <c r="J479">
        <v>3.3840780993348342E-2</v>
      </c>
      <c r="K479">
        <v>4282.1187284923899</v>
      </c>
      <c r="L479">
        <v>-6.0221724998928416E-2</v>
      </c>
      <c r="M479">
        <v>4556.5202371671203</v>
      </c>
      <c r="N479">
        <v>2.8994790500605698</v>
      </c>
      <c r="O479">
        <v>109.938805535022</v>
      </c>
      <c r="P479">
        <v>66.663941552223903</v>
      </c>
      <c r="Q479">
        <v>27.4877592741813</v>
      </c>
      <c r="R479">
        <v>8791710</v>
      </c>
      <c r="S479">
        <v>0.10009010475600706</v>
      </c>
      <c r="U479">
        <v>3.76</v>
      </c>
      <c r="V479">
        <v>25.130195000000001</v>
      </c>
      <c r="W479">
        <v>3.2252190000000001</v>
      </c>
      <c r="X479">
        <v>89.434550000000002</v>
      </c>
      <c r="Y479">
        <v>46.2</v>
      </c>
      <c r="AA479">
        <v>2022</v>
      </c>
      <c r="AB479">
        <v>2023</v>
      </c>
      <c r="AC479">
        <v>0</v>
      </c>
      <c r="AD479">
        <v>0</v>
      </c>
      <c r="AE479">
        <v>1</v>
      </c>
      <c r="AF479">
        <v>1</v>
      </c>
      <c r="AJ479">
        <v>0.46703448891639709</v>
      </c>
      <c r="AK479">
        <v>9.9131204187870026E-2</v>
      </c>
      <c r="AL479">
        <v>8.1308500000000002E-3</v>
      </c>
      <c r="AM479">
        <f>VLOOKUP(D479,[1]Sheet1!$C$1:$D$191,2,FALSE)</f>
        <v>61</v>
      </c>
    </row>
    <row r="480" spans="1:39" x14ac:dyDescent="0.35">
      <c r="A480">
        <v>2015</v>
      </c>
      <c r="B480" t="s">
        <v>64</v>
      </c>
      <c r="C480">
        <v>61</v>
      </c>
      <c r="D480" t="s">
        <v>265</v>
      </c>
      <c r="E480">
        <v>233138.19309591971</v>
      </c>
      <c r="F480">
        <v>3932900</v>
      </c>
      <c r="G480">
        <v>4166038.1930959197</v>
      </c>
      <c r="H480">
        <v>38587017887.323898</v>
      </c>
      <c r="I480">
        <v>38587017887.323898</v>
      </c>
      <c r="J480">
        <v>2.4965287931517196E-2</v>
      </c>
      <c r="K480">
        <v>4042.7567809755501</v>
      </c>
      <c r="L480">
        <v>-5.5898017475361363E-2</v>
      </c>
      <c r="M480">
        <v>4282.1187284923899</v>
      </c>
      <c r="N480">
        <v>-0.87685135970404904</v>
      </c>
      <c r="O480">
        <v>95.357912226679105</v>
      </c>
      <c r="P480">
        <v>66.711171031706598</v>
      </c>
      <c r="Q480">
        <v>25.7146982444767</v>
      </c>
      <c r="R480">
        <v>9544729</v>
      </c>
      <c r="S480">
        <v>8.5651028070762122E-2</v>
      </c>
      <c r="U480">
        <v>3.86</v>
      </c>
      <c r="V480">
        <v>24.120296</v>
      </c>
      <c r="W480">
        <v>3.5804960000000001</v>
      </c>
      <c r="X480">
        <v>67.081389999999999</v>
      </c>
      <c r="Y480">
        <v>54.22</v>
      </c>
      <c r="Z480">
        <v>36.628427876253902</v>
      </c>
      <c r="AA480">
        <v>2022</v>
      </c>
      <c r="AB480">
        <v>2023</v>
      </c>
      <c r="AC480">
        <v>0</v>
      </c>
      <c r="AD480">
        <v>0</v>
      </c>
      <c r="AE480">
        <v>1</v>
      </c>
      <c r="AF480">
        <v>1</v>
      </c>
      <c r="AJ480">
        <v>0.41470438241958618</v>
      </c>
      <c r="AK480">
        <v>9.6883781254291534E-2</v>
      </c>
      <c r="AL480">
        <v>5.6794349999999993E-2</v>
      </c>
      <c r="AM480">
        <f>VLOOKUP(D480,[1]Sheet1!$C$1:$D$191,2,FALSE)</f>
        <v>61</v>
      </c>
    </row>
    <row r="481" spans="1:39" x14ac:dyDescent="0.35">
      <c r="A481">
        <v>2016</v>
      </c>
      <c r="B481" t="s">
        <v>64</v>
      </c>
      <c r="C481">
        <v>61</v>
      </c>
      <c r="D481" t="s">
        <v>265</v>
      </c>
      <c r="E481">
        <v>2120.5548367853999</v>
      </c>
      <c r="F481">
        <v>3253656</v>
      </c>
      <c r="G481">
        <v>3255776.5548367854</v>
      </c>
      <c r="H481">
        <v>39356512808.349403</v>
      </c>
      <c r="I481">
        <v>39892551126.760597</v>
      </c>
      <c r="J481">
        <v>1.9941808493013642E-2</v>
      </c>
      <c r="K481">
        <v>3933.1470461106801</v>
      </c>
      <c r="L481">
        <v>-2.7112621610251877E-2</v>
      </c>
      <c r="M481">
        <v>4042.7567809755501</v>
      </c>
      <c r="N481">
        <v>-0.77843046305414199</v>
      </c>
      <c r="O481">
        <v>88.720717895468695</v>
      </c>
      <c r="P481">
        <v>70.9530803561467</v>
      </c>
      <c r="Q481">
        <v>25.857840176474301</v>
      </c>
      <c r="R481">
        <v>10006367</v>
      </c>
      <c r="S481">
        <v>4.8365752448288474E-2</v>
      </c>
      <c r="U481">
        <v>3.96</v>
      </c>
      <c r="V481">
        <v>26.710332999999999</v>
      </c>
      <c r="W481">
        <v>3.573572</v>
      </c>
      <c r="X481">
        <v>65.253699999999995</v>
      </c>
      <c r="Y481">
        <v>56.15</v>
      </c>
      <c r="Z481">
        <v>34.061263563699498</v>
      </c>
      <c r="AA481">
        <v>2022</v>
      </c>
      <c r="AB481">
        <v>2023</v>
      </c>
      <c r="AC481">
        <v>0</v>
      </c>
      <c r="AD481">
        <v>0</v>
      </c>
      <c r="AE481">
        <v>1</v>
      </c>
      <c r="AF481">
        <v>1</v>
      </c>
      <c r="AJ481">
        <v>0.24589745700359339</v>
      </c>
      <c r="AK481">
        <v>6.8042993545532227E-2</v>
      </c>
      <c r="AL481">
        <v>5.554425E-3</v>
      </c>
      <c r="AM481">
        <f>VLOOKUP(D481,[1]Sheet1!$C$1:$D$191,2,FALSE)</f>
        <v>61</v>
      </c>
    </row>
    <row r="482" spans="1:39" x14ac:dyDescent="0.35">
      <c r="A482">
        <v>2017</v>
      </c>
      <c r="B482" t="s">
        <v>64</v>
      </c>
      <c r="C482">
        <v>61</v>
      </c>
      <c r="D482" t="s">
        <v>265</v>
      </c>
      <c r="E482">
        <v>78293</v>
      </c>
      <c r="F482">
        <v>6638216.8099999996</v>
      </c>
      <c r="G482">
        <v>6716509.8099999996</v>
      </c>
      <c r="H482">
        <v>40330034782.848503</v>
      </c>
      <c r="I482">
        <v>41608435915.492996</v>
      </c>
      <c r="J482">
        <v>2.4735981544903772E-2</v>
      </c>
      <c r="K482">
        <v>3940.7019918114502</v>
      </c>
      <c r="L482">
        <v>1.9208398801770804E-3</v>
      </c>
      <c r="M482">
        <v>3933.1470461106801</v>
      </c>
      <c r="N482">
        <v>3.3238944757609699</v>
      </c>
      <c r="O482">
        <v>89.731600507135795</v>
      </c>
      <c r="P482">
        <v>74.4929698437643</v>
      </c>
      <c r="Q482">
        <v>25.558874428548599</v>
      </c>
      <c r="R482">
        <v>10234226</v>
      </c>
      <c r="S482">
        <v>2.2771401448697614E-2</v>
      </c>
      <c r="T482">
        <v>40.573</v>
      </c>
      <c r="U482">
        <v>3.87</v>
      </c>
      <c r="V482">
        <v>27.495594000000001</v>
      </c>
      <c r="W482">
        <v>3.6168589999999998</v>
      </c>
      <c r="X482">
        <v>64.688270000000003</v>
      </c>
      <c r="Y482">
        <v>64.5</v>
      </c>
      <c r="Z482">
        <v>28.621057099162201</v>
      </c>
      <c r="AA482">
        <v>2022</v>
      </c>
      <c r="AB482">
        <v>2023</v>
      </c>
      <c r="AC482">
        <v>0</v>
      </c>
      <c r="AD482">
        <v>0</v>
      </c>
      <c r="AE482">
        <v>1</v>
      </c>
      <c r="AF482">
        <v>1</v>
      </c>
      <c r="AJ482">
        <v>0.2359275966882706</v>
      </c>
      <c r="AK482">
        <v>8.0302223563194275E-2</v>
      </c>
      <c r="AL482">
        <v>2.7464249999999998E-3</v>
      </c>
      <c r="AM482">
        <f>VLOOKUP(D482,[1]Sheet1!$C$1:$D$191,2,FALSE)</f>
        <v>61</v>
      </c>
    </row>
    <row r="483" spans="1:39" x14ac:dyDescent="0.35">
      <c r="A483">
        <v>2018</v>
      </c>
      <c r="B483" t="s">
        <v>64</v>
      </c>
      <c r="C483">
        <v>61</v>
      </c>
      <c r="D483" t="s">
        <v>265</v>
      </c>
      <c r="E483">
        <v>16930.272560000001</v>
      </c>
      <c r="F483">
        <v>12816240.199999999</v>
      </c>
      <c r="G483">
        <v>12833170.47256</v>
      </c>
      <c r="H483">
        <v>41103996749.736603</v>
      </c>
      <c r="I483">
        <v>43370860704.225403</v>
      </c>
      <c r="J483">
        <v>1.9190709134157481E-2</v>
      </c>
      <c r="K483">
        <v>3928.7702682120498</v>
      </c>
      <c r="L483">
        <v>-3.0278167758419146E-3</v>
      </c>
      <c r="M483">
        <v>3940.7019918114502</v>
      </c>
      <c r="N483">
        <v>4.46231108475481</v>
      </c>
      <c r="O483">
        <v>87.635915190685694</v>
      </c>
      <c r="P483">
        <v>75.621214572855706</v>
      </c>
      <c r="Q483">
        <v>26.292073540607301</v>
      </c>
      <c r="R483">
        <v>10462306</v>
      </c>
      <c r="S483">
        <v>2.2286003846309434E-2</v>
      </c>
      <c r="T483">
        <v>40.213999999999999</v>
      </c>
      <c r="U483">
        <v>3.93</v>
      </c>
      <c r="V483">
        <v>29.407954</v>
      </c>
      <c r="W483">
        <v>3.6866500000000002</v>
      </c>
      <c r="X483">
        <v>64.882679999999993</v>
      </c>
      <c r="Y483">
        <v>65.2</v>
      </c>
      <c r="Z483">
        <v>31.5562985544301</v>
      </c>
      <c r="AA483">
        <v>2022</v>
      </c>
      <c r="AB483">
        <v>2023</v>
      </c>
      <c r="AC483">
        <v>0</v>
      </c>
      <c r="AD483">
        <v>0</v>
      </c>
      <c r="AE483">
        <v>1</v>
      </c>
      <c r="AF483">
        <v>1</v>
      </c>
      <c r="AI483">
        <v>1</v>
      </c>
      <c r="AJ483">
        <v>0.23142507672309881</v>
      </c>
      <c r="AK483">
        <v>3.0843168497085571E-2</v>
      </c>
      <c r="AL483">
        <v>0</v>
      </c>
      <c r="AM483">
        <f>VLOOKUP(D483,[1]Sheet1!$C$1:$D$191,2,FALSE)</f>
        <v>61</v>
      </c>
    </row>
    <row r="484" spans="1:39" x14ac:dyDescent="0.35">
      <c r="A484">
        <v>2019</v>
      </c>
      <c r="B484" t="s">
        <v>64</v>
      </c>
      <c r="C484">
        <v>61</v>
      </c>
      <c r="D484" t="s">
        <v>265</v>
      </c>
      <c r="E484">
        <v>10918.484249450001</v>
      </c>
      <c r="F484">
        <v>1851102.9627527599</v>
      </c>
      <c r="G484">
        <v>1862021.44700221</v>
      </c>
      <c r="H484">
        <v>41823826702.477997</v>
      </c>
      <c r="I484">
        <v>44503006338.028198</v>
      </c>
      <c r="J484">
        <v>1.7512407786622521E-2</v>
      </c>
      <c r="K484">
        <v>3919.06426916073</v>
      </c>
      <c r="L484">
        <v>-2.470492899483524E-3</v>
      </c>
      <c r="M484">
        <v>3928.7702682120498</v>
      </c>
      <c r="N484">
        <v>0.76151404726560101</v>
      </c>
      <c r="O484">
        <v>85.687833496420396</v>
      </c>
      <c r="P484">
        <v>76.899813957980896</v>
      </c>
      <c r="Q484">
        <v>26.248266278703198</v>
      </c>
      <c r="R484">
        <v>10671891</v>
      </c>
      <c r="S484">
        <v>2.0032390564756947E-2</v>
      </c>
      <c r="T484">
        <v>40.021000000000001</v>
      </c>
      <c r="U484">
        <v>3.93</v>
      </c>
      <c r="V484">
        <v>26.134865999999999</v>
      </c>
      <c r="W484">
        <v>3.698372</v>
      </c>
      <c r="X484">
        <v>65.101590000000002</v>
      </c>
      <c r="Y484">
        <v>70.084699999999998</v>
      </c>
      <c r="Z484">
        <v>30.110840389455799</v>
      </c>
      <c r="AA484">
        <v>2022</v>
      </c>
      <c r="AB484">
        <v>2023</v>
      </c>
      <c r="AC484">
        <v>0</v>
      </c>
      <c r="AD484">
        <v>0</v>
      </c>
      <c r="AE484">
        <v>1</v>
      </c>
      <c r="AF484">
        <v>1</v>
      </c>
      <c r="AI484">
        <v>1</v>
      </c>
      <c r="AJ484">
        <v>0.132250651717186</v>
      </c>
      <c r="AK484">
        <v>2.968393079936504E-2</v>
      </c>
      <c r="AL484">
        <v>0</v>
      </c>
      <c r="AM484">
        <f>VLOOKUP(D484,[1]Sheet1!$C$1:$D$191,2,FALSE)</f>
        <v>61</v>
      </c>
    </row>
    <row r="485" spans="1:39" x14ac:dyDescent="0.35">
      <c r="A485">
        <v>2020</v>
      </c>
      <c r="B485" t="s">
        <v>64</v>
      </c>
      <c r="C485">
        <v>61</v>
      </c>
      <c r="D485" t="s">
        <v>265</v>
      </c>
      <c r="E485">
        <v>4650.2</v>
      </c>
      <c r="F485">
        <v>2478584.9469559998</v>
      </c>
      <c r="G485">
        <v>2483235.146956</v>
      </c>
      <c r="H485">
        <v>41362613665.935898</v>
      </c>
      <c r="I485">
        <v>43700383098.591599</v>
      </c>
      <c r="J485">
        <v>-1.1027518830905371E-2</v>
      </c>
      <c r="K485">
        <v>3806.8794935491401</v>
      </c>
      <c r="L485">
        <v>-2.8625398285600026E-2</v>
      </c>
      <c r="M485">
        <v>3919.06426916073</v>
      </c>
      <c r="N485">
        <v>0.33329435062837798</v>
      </c>
      <c r="O485">
        <v>66.059948808905901</v>
      </c>
      <c r="P485">
        <v>83.136531797958298</v>
      </c>
      <c r="Q485">
        <v>28.1652218731959</v>
      </c>
      <c r="R485">
        <v>10865228</v>
      </c>
      <c r="S485">
        <v>1.8116470642363196E-2</v>
      </c>
      <c r="T485">
        <v>40.335999999999999</v>
      </c>
      <c r="U485">
        <v>3.62</v>
      </c>
      <c r="V485">
        <v>30.564810000000001</v>
      </c>
      <c r="W485">
        <v>3.5155720000000001</v>
      </c>
      <c r="X485">
        <v>64.941689999999994</v>
      </c>
      <c r="Y485">
        <v>78.4178</v>
      </c>
      <c r="Z485">
        <v>30.287966560531899</v>
      </c>
      <c r="AA485">
        <v>2022</v>
      </c>
      <c r="AB485">
        <v>2023</v>
      </c>
      <c r="AC485">
        <v>0</v>
      </c>
      <c r="AD485">
        <v>0</v>
      </c>
      <c r="AE485">
        <v>1</v>
      </c>
      <c r="AF485">
        <v>1</v>
      </c>
      <c r="AI485">
        <v>1</v>
      </c>
      <c r="AJ485">
        <v>0.1866245120763779</v>
      </c>
      <c r="AK485">
        <v>0.25272619724273682</v>
      </c>
      <c r="AL485">
        <v>0</v>
      </c>
      <c r="AM485">
        <f>VLOOKUP(D485,[1]Sheet1!$C$1:$D$191,2,FALSE)</f>
        <v>61</v>
      </c>
    </row>
    <row r="486" spans="1:39" x14ac:dyDescent="0.35">
      <c r="A486">
        <v>2013</v>
      </c>
      <c r="B486" t="s">
        <v>65</v>
      </c>
      <c r="C486">
        <v>62</v>
      </c>
      <c r="D486" t="s">
        <v>266</v>
      </c>
      <c r="E486">
        <v>2429790.3594501121</v>
      </c>
      <c r="F486">
        <v>9283375</v>
      </c>
      <c r="G486">
        <v>11713165.359450113</v>
      </c>
      <c r="H486">
        <v>63608687382.876404</v>
      </c>
      <c r="I486">
        <v>61671440407.838699</v>
      </c>
      <c r="J486">
        <v>3.797848392575455E-2</v>
      </c>
      <c r="K486">
        <v>1413.94142522583</v>
      </c>
      <c r="L486">
        <v>1.2633112906728323E-2</v>
      </c>
      <c r="M486">
        <v>1396.30178709756</v>
      </c>
      <c r="N486">
        <v>5.7174935703773304</v>
      </c>
      <c r="O486">
        <v>47.4646425127304</v>
      </c>
      <c r="P486">
        <v>28.332172204347</v>
      </c>
      <c r="R486">
        <v>44986791</v>
      </c>
      <c r="S486">
        <v>2.5029174629969175E-2</v>
      </c>
      <c r="U486">
        <v>5.13</v>
      </c>
      <c r="V486">
        <v>9.4862424000000001</v>
      </c>
      <c r="W486">
        <v>9.5643379999999993</v>
      </c>
      <c r="X486">
        <v>35.59646</v>
      </c>
      <c r="Y486">
        <v>13</v>
      </c>
      <c r="AF486">
        <v>0</v>
      </c>
      <c r="AJ486">
        <v>-0.715259850025177</v>
      </c>
      <c r="AK486">
        <v>-0.32621589303016663</v>
      </c>
      <c r="AL486">
        <v>0.14019937499999999</v>
      </c>
      <c r="AM486">
        <f>VLOOKUP(D486,[1]Sheet1!$C$1:$D$191,2,FALSE)</f>
        <v>62</v>
      </c>
    </row>
    <row r="487" spans="1:39" x14ac:dyDescent="0.35">
      <c r="A487">
        <v>2014</v>
      </c>
      <c r="B487" t="s">
        <v>65</v>
      </c>
      <c r="C487">
        <v>62</v>
      </c>
      <c r="D487" t="s">
        <v>266</v>
      </c>
      <c r="E487">
        <v>4006749.7711644769</v>
      </c>
      <c r="F487">
        <v>10873700</v>
      </c>
      <c r="G487">
        <v>14880449.771164477</v>
      </c>
      <c r="H487">
        <v>66801914096.6185</v>
      </c>
      <c r="I487">
        <v>68285796514.289597</v>
      </c>
      <c r="J487">
        <v>5.0201110023246912E-2</v>
      </c>
      <c r="K487">
        <v>1450.5933820227699</v>
      </c>
      <c r="L487">
        <v>2.5921835334222532E-2</v>
      </c>
      <c r="M487">
        <v>1413.94142522583</v>
      </c>
      <c r="N487">
        <v>6.87815499275949</v>
      </c>
      <c r="O487">
        <v>46.170489362216003</v>
      </c>
      <c r="P487">
        <v>34.522065177838698</v>
      </c>
      <c r="Q487">
        <v>20.537495233640001</v>
      </c>
      <c r="R487">
        <v>46051440</v>
      </c>
      <c r="S487">
        <v>2.3665813371751721E-2</v>
      </c>
      <c r="U487">
        <v>5.13</v>
      </c>
      <c r="V487">
        <v>9.6357853999999996</v>
      </c>
      <c r="W487">
        <v>8.4699419999999996</v>
      </c>
      <c r="X487">
        <v>33.480780000000003</v>
      </c>
      <c r="Y487">
        <v>16.5</v>
      </c>
      <c r="AF487">
        <v>0</v>
      </c>
      <c r="AJ487">
        <v>-0.4120374321937561</v>
      </c>
      <c r="AK487">
        <v>-0.34839567542076111</v>
      </c>
      <c r="AL487">
        <v>8.1114599999999995E-2</v>
      </c>
      <c r="AM487">
        <f>VLOOKUP(D487,[1]Sheet1!$C$1:$D$191,2,FALSE)</f>
        <v>62</v>
      </c>
    </row>
    <row r="488" spans="1:39" x14ac:dyDescent="0.35">
      <c r="A488">
        <v>2015</v>
      </c>
      <c r="B488" t="s">
        <v>65</v>
      </c>
      <c r="C488">
        <v>62</v>
      </c>
      <c r="D488" t="s">
        <v>266</v>
      </c>
      <c r="E488">
        <v>5166318.8491514102</v>
      </c>
      <c r="F488">
        <v>10904275</v>
      </c>
      <c r="G488">
        <v>16070593.84915141</v>
      </c>
      <c r="H488">
        <v>70120446896.835907</v>
      </c>
      <c r="I488">
        <v>70120446896.835907</v>
      </c>
      <c r="J488">
        <v>4.9677211275977358E-2</v>
      </c>
      <c r="K488">
        <v>1489.1195977728401</v>
      </c>
      <c r="L488">
        <v>2.655893527953887E-2</v>
      </c>
      <c r="M488">
        <v>1450.5933820227699</v>
      </c>
      <c r="N488">
        <v>6.5821542928477896</v>
      </c>
      <c r="O488">
        <v>40.327384691901898</v>
      </c>
      <c r="P488">
        <v>36.699329350839697</v>
      </c>
      <c r="Q488">
        <v>20.715071150523599</v>
      </c>
      <c r="R488">
        <v>47088526</v>
      </c>
      <c r="S488">
        <v>2.2520164407453927E-2</v>
      </c>
      <c r="U488">
        <v>5.33</v>
      </c>
      <c r="V488">
        <v>9.6946776000000003</v>
      </c>
      <c r="W488">
        <v>8.403988</v>
      </c>
      <c r="X488">
        <v>38.378799999999998</v>
      </c>
      <c r="Y488">
        <v>16.587900000000001</v>
      </c>
      <c r="Z488">
        <v>9.2531949618872105</v>
      </c>
      <c r="AF488">
        <v>0</v>
      </c>
      <c r="AJ488">
        <v>-0.50737696886062622</v>
      </c>
      <c r="AK488">
        <v>-0.36847791075706482</v>
      </c>
      <c r="AL488">
        <v>0.12927202500000001</v>
      </c>
      <c r="AM488">
        <f>VLOOKUP(D488,[1]Sheet1!$C$1:$D$191,2,FALSE)</f>
        <v>62</v>
      </c>
    </row>
    <row r="489" spans="1:39" x14ac:dyDescent="0.35">
      <c r="A489">
        <v>2016</v>
      </c>
      <c r="B489" t="s">
        <v>65</v>
      </c>
      <c r="C489">
        <v>62</v>
      </c>
      <c r="D489" t="s">
        <v>266</v>
      </c>
      <c r="E489">
        <v>2233701.8244840931</v>
      </c>
      <c r="F489">
        <v>10509875</v>
      </c>
      <c r="G489">
        <v>12743576.824484093</v>
      </c>
      <c r="H489">
        <v>73074983895.095306</v>
      </c>
      <c r="I489">
        <v>74815144163.893097</v>
      </c>
      <c r="J489">
        <v>4.213517068147378E-2</v>
      </c>
      <c r="K489">
        <v>1517.9779605774199</v>
      </c>
      <c r="L489">
        <v>1.9379479558083234E-2</v>
      </c>
      <c r="M489">
        <v>1489.1195977728401</v>
      </c>
      <c r="N489">
        <v>6.2972495381462501</v>
      </c>
      <c r="O489">
        <v>34.865019573182401</v>
      </c>
      <c r="P489">
        <v>35.571073213439703</v>
      </c>
      <c r="Q489">
        <v>22.1909797740547</v>
      </c>
      <c r="R489">
        <v>48139687</v>
      </c>
      <c r="S489">
        <v>2.2323081423274962E-2</v>
      </c>
      <c r="T489">
        <v>79.061000000000007</v>
      </c>
      <c r="U489">
        <v>5.33</v>
      </c>
      <c r="V489">
        <v>9.1622546000000007</v>
      </c>
      <c r="W489">
        <v>8.7503860000000007</v>
      </c>
      <c r="X489">
        <v>37.887509999999999</v>
      </c>
      <c r="Y489">
        <v>16.600000000000001</v>
      </c>
      <c r="Z489">
        <v>11.6347883294504</v>
      </c>
      <c r="AF489">
        <v>0</v>
      </c>
      <c r="AJ489">
        <v>-0.45708060264587402</v>
      </c>
      <c r="AK489">
        <v>-0.35790085792541498</v>
      </c>
      <c r="AL489">
        <v>0.121344225</v>
      </c>
      <c r="AM489">
        <f>VLOOKUP(D489,[1]Sheet1!$C$1:$D$191,2,FALSE)</f>
        <v>62</v>
      </c>
    </row>
    <row r="490" spans="1:39" x14ac:dyDescent="0.35">
      <c r="A490">
        <v>2017</v>
      </c>
      <c r="B490" t="s">
        <v>65</v>
      </c>
      <c r="C490">
        <v>62</v>
      </c>
      <c r="D490" t="s">
        <v>266</v>
      </c>
      <c r="E490">
        <v>2742499.1339139999</v>
      </c>
      <c r="F490">
        <v>16968801.91</v>
      </c>
      <c r="G490">
        <v>19711301.043913998</v>
      </c>
      <c r="H490">
        <v>75879571212.388504</v>
      </c>
      <c r="I490">
        <v>82036510877.259903</v>
      </c>
      <c r="J490">
        <v>3.8379581736472171E-2</v>
      </c>
      <c r="K490">
        <v>1542.3377397337199</v>
      </c>
      <c r="L490">
        <v>1.6047518336190999E-2</v>
      </c>
      <c r="M490">
        <v>1517.9779605774199</v>
      </c>
      <c r="N490">
        <v>8.0056496770994503</v>
      </c>
      <c r="O490">
        <v>35.995057875407397</v>
      </c>
      <c r="P490">
        <v>33.150599303110603</v>
      </c>
      <c r="Q490">
        <v>25.128509091652699</v>
      </c>
      <c r="R490">
        <v>49197766</v>
      </c>
      <c r="S490">
        <v>2.1979349387959254E-2</v>
      </c>
      <c r="U490">
        <v>5.1100000000000003</v>
      </c>
      <c r="V490">
        <v>9.4302124999999997</v>
      </c>
      <c r="W490">
        <v>7.6259779999999999</v>
      </c>
      <c r="X490">
        <v>37.46228</v>
      </c>
      <c r="Y490">
        <v>17.827100000000002</v>
      </c>
      <c r="Z490">
        <v>11.8049232142021</v>
      </c>
      <c r="AF490">
        <v>0</v>
      </c>
      <c r="AJ490">
        <v>-0.43183612823486328</v>
      </c>
      <c r="AK490">
        <v>-0.28063797950744629</v>
      </c>
      <c r="AL490">
        <v>0.25972622499999998</v>
      </c>
      <c r="AM490">
        <f>VLOOKUP(D490,[1]Sheet1!$C$1:$D$191,2,FALSE)</f>
        <v>62</v>
      </c>
    </row>
    <row r="491" spans="1:39" x14ac:dyDescent="0.35">
      <c r="A491">
        <v>2018</v>
      </c>
      <c r="B491" t="s">
        <v>65</v>
      </c>
      <c r="C491">
        <v>62</v>
      </c>
      <c r="D491" t="s">
        <v>266</v>
      </c>
      <c r="E491">
        <v>3448169.5624409998</v>
      </c>
      <c r="F491">
        <v>31565031.030590001</v>
      </c>
      <c r="G491">
        <v>35013200.593031004</v>
      </c>
      <c r="H491">
        <v>80165208728.395599</v>
      </c>
      <c r="I491">
        <v>92202979985.286301</v>
      </c>
      <c r="J491">
        <v>5.6479464070922414E-2</v>
      </c>
      <c r="K491">
        <v>1596.6904591494499</v>
      </c>
      <c r="L491">
        <v>3.524047814917234E-2</v>
      </c>
      <c r="M491">
        <v>1542.3377397337199</v>
      </c>
      <c r="N491">
        <v>4.6898064677633</v>
      </c>
      <c r="O491">
        <v>34.414753176742501</v>
      </c>
      <c r="P491">
        <v>31.198689767300198</v>
      </c>
      <c r="Q491">
        <v>23.635178158490898</v>
      </c>
      <c r="R491">
        <v>50207107</v>
      </c>
      <c r="S491">
        <v>2.0515992535108201E-2</v>
      </c>
      <c r="U491">
        <v>5.1100000000000003</v>
      </c>
      <c r="V491">
        <v>9.1542151</v>
      </c>
      <c r="W491">
        <v>6.7938609999999997</v>
      </c>
      <c r="X491">
        <v>37.98265</v>
      </c>
      <c r="Y491">
        <v>19.5</v>
      </c>
      <c r="AF491">
        <v>0</v>
      </c>
      <c r="AJ491">
        <v>-0.42828243970870972</v>
      </c>
      <c r="AK491">
        <v>-0.2653440535068512</v>
      </c>
      <c r="AL491">
        <v>0.1709833</v>
      </c>
      <c r="AM491">
        <f>VLOOKUP(D491,[1]Sheet1!$C$1:$D$191,2,FALSE)</f>
        <v>62</v>
      </c>
    </row>
    <row r="492" spans="1:39" x14ac:dyDescent="0.35">
      <c r="A492">
        <v>2019</v>
      </c>
      <c r="B492" t="s">
        <v>65</v>
      </c>
      <c r="C492">
        <v>62</v>
      </c>
      <c r="D492" t="s">
        <v>266</v>
      </c>
      <c r="E492">
        <v>3078131.56706117</v>
      </c>
      <c r="F492">
        <v>73665953.356592804</v>
      </c>
      <c r="G492">
        <v>76744084.923653975</v>
      </c>
      <c r="H492">
        <v>84264984851.354904</v>
      </c>
      <c r="I492">
        <v>100378436207.371</v>
      </c>
      <c r="J492">
        <v>5.1141588576780049E-2</v>
      </c>
      <c r="K492">
        <v>1645.70961777862</v>
      </c>
      <c r="L492">
        <v>3.0700476944844006E-2</v>
      </c>
      <c r="M492">
        <v>1596.6904591494499</v>
      </c>
      <c r="N492">
        <v>5.2396379576479202</v>
      </c>
      <c r="O492">
        <v>31.759461841480999</v>
      </c>
      <c r="P492">
        <v>30.832028770159699</v>
      </c>
      <c r="Q492">
        <v>18.7983198385291</v>
      </c>
      <c r="R492">
        <v>51202827</v>
      </c>
      <c r="S492">
        <v>1.9832252035553454E-2</v>
      </c>
      <c r="T492">
        <v>65.778000000000006</v>
      </c>
      <c r="U492">
        <v>5.18</v>
      </c>
      <c r="V492">
        <v>7.6919576000000003</v>
      </c>
      <c r="W492">
        <v>6.4147460000000001</v>
      </c>
      <c r="X492">
        <v>41.090269999999997</v>
      </c>
      <c r="Y492">
        <v>22.668800000000001</v>
      </c>
      <c r="Z492">
        <v>10.4975595474243</v>
      </c>
      <c r="AF492">
        <v>0</v>
      </c>
      <c r="AI492">
        <v>1</v>
      </c>
      <c r="AJ492">
        <v>-0.46481236815452581</v>
      </c>
      <c r="AK492">
        <v>-0.33894753456115723</v>
      </c>
      <c r="AL492">
        <v>6.7060325000000004E-2</v>
      </c>
      <c r="AM492">
        <f>VLOOKUP(D492,[1]Sheet1!$C$1:$D$191,2,FALSE)</f>
        <v>62</v>
      </c>
    </row>
    <row r="493" spans="1:39" x14ac:dyDescent="0.35">
      <c r="A493">
        <v>2020</v>
      </c>
      <c r="B493" t="s">
        <v>65</v>
      </c>
      <c r="C493">
        <v>62</v>
      </c>
      <c r="D493" t="s">
        <v>266</v>
      </c>
      <c r="E493">
        <v>1594924.8202711609</v>
      </c>
      <c r="F493">
        <v>79366441.296367198</v>
      </c>
      <c r="G493">
        <v>80961366.116638362</v>
      </c>
      <c r="H493">
        <v>84035138346.858994</v>
      </c>
      <c r="I493">
        <v>100657505750.545</v>
      </c>
      <c r="J493">
        <v>-2.7276632743881033E-3</v>
      </c>
      <c r="K493">
        <v>1609.33414078281</v>
      </c>
      <c r="L493">
        <v>-2.2103217118527658E-2</v>
      </c>
      <c r="M493">
        <v>1645.70961777862</v>
      </c>
      <c r="N493">
        <v>5.4051620793339197</v>
      </c>
      <c r="O493">
        <v>27.237815525236901</v>
      </c>
      <c r="P493">
        <v>32.149807420893502</v>
      </c>
      <c r="Q493">
        <v>19.994146175738901</v>
      </c>
      <c r="R493">
        <v>52217334</v>
      </c>
      <c r="S493">
        <v>1.9813495844672794E-2</v>
      </c>
      <c r="U493">
        <v>5.05</v>
      </c>
      <c r="V493">
        <v>7.3044054999999997</v>
      </c>
      <c r="W493">
        <v>6.1715799999999996</v>
      </c>
      <c r="X493">
        <v>42.669820000000001</v>
      </c>
      <c r="AF493">
        <v>0</v>
      </c>
      <c r="AI493">
        <v>1</v>
      </c>
      <c r="AJ493">
        <v>-0.579112708568573</v>
      </c>
      <c r="AK493">
        <v>-0.51719057559967041</v>
      </c>
      <c r="AL493">
        <v>0.12515809999999999</v>
      </c>
      <c r="AM493">
        <f>VLOOKUP(D493,[1]Sheet1!$C$1:$D$191,2,FALSE)</f>
        <v>62</v>
      </c>
    </row>
    <row r="494" spans="1:39" x14ac:dyDescent="0.35">
      <c r="A494">
        <v>2013</v>
      </c>
      <c r="B494" t="s">
        <v>66</v>
      </c>
      <c r="C494">
        <v>63</v>
      </c>
      <c r="D494" t="s">
        <v>267</v>
      </c>
      <c r="E494">
        <v>1331134.58</v>
      </c>
      <c r="F494">
        <v>833640</v>
      </c>
      <c r="G494">
        <v>2164774.58</v>
      </c>
      <c r="H494">
        <v>1381732300870.28</v>
      </c>
      <c r="I494">
        <v>1370632955321.2</v>
      </c>
      <c r="J494">
        <v>3.1647086364715374E-2</v>
      </c>
      <c r="K494">
        <v>27399.6159477521</v>
      </c>
      <c r="L494">
        <v>2.6961509612896326E-2</v>
      </c>
      <c r="M494">
        <v>26680.275444870502</v>
      </c>
      <c r="N494">
        <v>1.3013475454741299</v>
      </c>
      <c r="O494">
        <v>97.952104953888195</v>
      </c>
      <c r="P494">
        <v>128.492053239461</v>
      </c>
      <c r="Q494">
        <v>24.032609926139699</v>
      </c>
      <c r="R494">
        <v>50428893</v>
      </c>
      <c r="S494">
        <v>4.5625631612905317E-3</v>
      </c>
      <c r="T494">
        <v>51.095999999999997</v>
      </c>
      <c r="U494">
        <v>8.06</v>
      </c>
      <c r="V494">
        <v>288.58544999999998</v>
      </c>
      <c r="W494">
        <v>2.2331129999999999</v>
      </c>
      <c r="X494">
        <v>49.842269999999999</v>
      </c>
      <c r="Y494">
        <v>84.77</v>
      </c>
      <c r="Z494">
        <v>96.337501525878906</v>
      </c>
      <c r="AA494">
        <v>2019</v>
      </c>
      <c r="AB494">
        <v>2019</v>
      </c>
      <c r="AC494">
        <v>0</v>
      </c>
      <c r="AD494">
        <v>0</v>
      </c>
      <c r="AE494">
        <v>0</v>
      </c>
      <c r="AF494">
        <v>1</v>
      </c>
      <c r="AJ494">
        <v>0.9451410174369812</v>
      </c>
      <c r="AK494">
        <v>0.98861199617385864</v>
      </c>
      <c r="AL494">
        <v>4.3566825000000003E-2</v>
      </c>
      <c r="AM494">
        <f>VLOOKUP(D494,[1]Sheet1!$C$1:$D$191,2,FALSE)</f>
        <v>63</v>
      </c>
    </row>
    <row r="495" spans="1:39" x14ac:dyDescent="0.35">
      <c r="A495">
        <v>2014</v>
      </c>
      <c r="B495" t="s">
        <v>66</v>
      </c>
      <c r="C495">
        <v>63</v>
      </c>
      <c r="D495" t="s">
        <v>267</v>
      </c>
      <c r="E495">
        <v>1685887.5163493489</v>
      </c>
      <c r="F495">
        <v>1220813</v>
      </c>
      <c r="G495">
        <v>2906700.5163493492</v>
      </c>
      <c r="H495">
        <v>1425981639370.3501</v>
      </c>
      <c r="I495">
        <v>1484488526271.8</v>
      </c>
      <c r="J495">
        <v>3.2024537945736488E-2</v>
      </c>
      <c r="K495">
        <v>28100.010275954399</v>
      </c>
      <c r="L495">
        <v>2.5562195088349789E-2</v>
      </c>
      <c r="M495">
        <v>27399.6159477521</v>
      </c>
      <c r="N495">
        <v>1.2747744640132199</v>
      </c>
      <c r="O495">
        <v>90.614441898156699</v>
      </c>
      <c r="P495">
        <v>131.555065108848</v>
      </c>
      <c r="Q495">
        <v>23.618894454303799</v>
      </c>
      <c r="R495">
        <v>50746659</v>
      </c>
      <c r="S495">
        <v>6.3012686001257256E-3</v>
      </c>
      <c r="T495">
        <v>50.640999999999998</v>
      </c>
      <c r="U495">
        <v>8.06</v>
      </c>
      <c r="V495">
        <v>280.80806000000001</v>
      </c>
      <c r="W495">
        <v>2.0597509999999999</v>
      </c>
      <c r="X495">
        <v>50.135930000000002</v>
      </c>
      <c r="Y495">
        <v>87.556799999999996</v>
      </c>
      <c r="Z495">
        <v>94.442169189453097</v>
      </c>
      <c r="AA495">
        <v>2019</v>
      </c>
      <c r="AB495">
        <v>2019</v>
      </c>
      <c r="AC495">
        <v>0</v>
      </c>
      <c r="AD495">
        <v>0</v>
      </c>
      <c r="AE495">
        <v>0</v>
      </c>
      <c r="AF495">
        <v>1</v>
      </c>
      <c r="AJ495">
        <v>1.0059633255004881</v>
      </c>
      <c r="AK495">
        <v>1.1340370178222661</v>
      </c>
      <c r="AL495">
        <v>9.9036425000000011E-2</v>
      </c>
      <c r="AM495">
        <f>VLOOKUP(D495,[1]Sheet1!$C$1:$D$191,2,FALSE)</f>
        <v>63</v>
      </c>
    </row>
    <row r="496" spans="1:39" x14ac:dyDescent="0.35">
      <c r="A496">
        <v>2015</v>
      </c>
      <c r="B496" t="s">
        <v>66</v>
      </c>
      <c r="C496">
        <v>63</v>
      </c>
      <c r="D496" t="s">
        <v>267</v>
      </c>
      <c r="E496">
        <v>2882974.58424003</v>
      </c>
      <c r="F496">
        <v>38297819</v>
      </c>
      <c r="G496">
        <v>41180793.584240034</v>
      </c>
      <c r="H496">
        <v>1466038936206.4299</v>
      </c>
      <c r="I496">
        <v>1466038936206.4299</v>
      </c>
      <c r="J496">
        <v>2.8091032682417531E-2</v>
      </c>
      <c r="K496">
        <v>28737.439170649901</v>
      </c>
      <c r="L496">
        <v>2.2684294006858764E-2</v>
      </c>
      <c r="M496">
        <v>28100.010275954399</v>
      </c>
      <c r="N496">
        <v>0.70633177245574996</v>
      </c>
      <c r="O496">
        <v>79.132494389092003</v>
      </c>
      <c r="P496">
        <v>132.14071268363199</v>
      </c>
      <c r="Q496">
        <v>23.489429429003501</v>
      </c>
      <c r="R496">
        <v>51014947</v>
      </c>
      <c r="S496">
        <v>5.2868110982439258E-3</v>
      </c>
      <c r="T496">
        <v>49.753</v>
      </c>
      <c r="U496">
        <v>7.97</v>
      </c>
      <c r="V496">
        <v>275.88082000000003</v>
      </c>
      <c r="W496">
        <v>1.81135</v>
      </c>
      <c r="X496">
        <v>64.127290000000002</v>
      </c>
      <c r="Y496">
        <v>89.896299999999997</v>
      </c>
      <c r="Z496">
        <v>93.9676513671875</v>
      </c>
      <c r="AA496">
        <v>2019</v>
      </c>
      <c r="AB496">
        <v>2019</v>
      </c>
      <c r="AC496">
        <v>0</v>
      </c>
      <c r="AD496">
        <v>0</v>
      </c>
      <c r="AE496">
        <v>0</v>
      </c>
      <c r="AF496">
        <v>1</v>
      </c>
      <c r="AJ496">
        <v>0.90273952484130859</v>
      </c>
      <c r="AK496">
        <v>1.0993340015411379</v>
      </c>
      <c r="AL496">
        <v>4.4478950000000003E-2</v>
      </c>
      <c r="AM496">
        <f>VLOOKUP(D496,[1]Sheet1!$C$1:$D$191,2,FALSE)</f>
        <v>63</v>
      </c>
    </row>
    <row r="497" spans="1:39" x14ac:dyDescent="0.35">
      <c r="A497">
        <v>2016</v>
      </c>
      <c r="B497" t="s">
        <v>66</v>
      </c>
      <c r="C497">
        <v>63</v>
      </c>
      <c r="D497" t="s">
        <v>267</v>
      </c>
      <c r="E497">
        <v>8466549.9627899509</v>
      </c>
      <c r="F497">
        <v>367840345.37723988</v>
      </c>
      <c r="G497">
        <v>376306895.34002984</v>
      </c>
      <c r="H497">
        <v>1509241369553.54</v>
      </c>
      <c r="I497">
        <v>1499679823909.6101</v>
      </c>
      <c r="J497">
        <v>2.9468817150861033E-2</v>
      </c>
      <c r="K497">
        <v>29467.124342555999</v>
      </c>
      <c r="L497">
        <v>2.5391447288432692E-2</v>
      </c>
      <c r="M497">
        <v>28737.439170649901</v>
      </c>
      <c r="N497">
        <v>0.971685739912168</v>
      </c>
      <c r="O497">
        <v>73.603809465598104</v>
      </c>
      <c r="P497">
        <v>134.82579144424699</v>
      </c>
      <c r="Q497">
        <v>23.504548869689799</v>
      </c>
      <c r="R497">
        <v>51217803</v>
      </c>
      <c r="S497">
        <v>3.976403229429994E-3</v>
      </c>
      <c r="T497">
        <v>48.930999999999997</v>
      </c>
      <c r="U497">
        <v>7.92</v>
      </c>
      <c r="V497">
        <v>271.56182999999999</v>
      </c>
      <c r="W497">
        <v>1.9141969999999999</v>
      </c>
      <c r="X497">
        <v>55.275370000000002</v>
      </c>
      <c r="Y497">
        <v>92.843000000000004</v>
      </c>
      <c r="Z497">
        <v>93.657722473144503</v>
      </c>
      <c r="AA497">
        <v>2019</v>
      </c>
      <c r="AB497">
        <v>2019</v>
      </c>
      <c r="AC497">
        <v>0</v>
      </c>
      <c r="AD497">
        <v>0</v>
      </c>
      <c r="AE497">
        <v>0</v>
      </c>
      <c r="AF497">
        <v>1</v>
      </c>
      <c r="AJ497">
        <v>1.1269690990448</v>
      </c>
      <c r="AK497">
        <v>1.102617740631104</v>
      </c>
      <c r="AL497">
        <v>1.745625E-2</v>
      </c>
      <c r="AM497">
        <f>VLOOKUP(D497,[1]Sheet1!$C$1:$D$191,2,FALSE)</f>
        <v>63</v>
      </c>
    </row>
    <row r="498" spans="1:39" x14ac:dyDescent="0.35">
      <c r="A498">
        <v>2017</v>
      </c>
      <c r="B498" t="s">
        <v>66</v>
      </c>
      <c r="C498">
        <v>63</v>
      </c>
      <c r="D498" t="s">
        <v>267</v>
      </c>
      <c r="E498">
        <v>275001248</v>
      </c>
      <c r="F498">
        <v>854916850</v>
      </c>
      <c r="G498">
        <v>1129918098</v>
      </c>
      <c r="H498">
        <v>1556927899270.75</v>
      </c>
      <c r="I498">
        <v>1623074183501.8999</v>
      </c>
      <c r="J498">
        <v>3.1596357401279342E-2</v>
      </c>
      <c r="K498">
        <v>30312.888850080901</v>
      </c>
      <c r="L498">
        <v>2.8701969615116497E-2</v>
      </c>
      <c r="M498">
        <v>29467.124342555999</v>
      </c>
      <c r="N498">
        <v>1.9443323078636601</v>
      </c>
      <c r="O498">
        <v>77.1209178066416</v>
      </c>
      <c r="P498">
        <v>136.492473272567</v>
      </c>
      <c r="Q498">
        <v>23.9628732652167</v>
      </c>
      <c r="R498">
        <v>51361911</v>
      </c>
      <c r="S498">
        <v>2.8136310337247383E-3</v>
      </c>
      <c r="T498">
        <v>48.337000000000003</v>
      </c>
      <c r="U498">
        <v>8</v>
      </c>
      <c r="V498">
        <v>272.59280000000001</v>
      </c>
      <c r="W498">
        <v>1.6109370000000001</v>
      </c>
      <c r="X498">
        <v>82.104489999999998</v>
      </c>
      <c r="Y498">
        <v>95.069400000000002</v>
      </c>
      <c r="Z498">
        <v>93.7230224609375</v>
      </c>
      <c r="AA498">
        <v>2019</v>
      </c>
      <c r="AB498">
        <v>2019</v>
      </c>
      <c r="AC498">
        <v>0</v>
      </c>
      <c r="AD498">
        <v>0</v>
      </c>
      <c r="AE498">
        <v>0</v>
      </c>
      <c r="AF498">
        <v>1</v>
      </c>
      <c r="AJ498">
        <v>1.1309677362442021</v>
      </c>
      <c r="AK498">
        <v>1.0945107936859131</v>
      </c>
      <c r="AL498">
        <v>2.6630524999999999E-2</v>
      </c>
      <c r="AM498">
        <f>VLOOKUP(D498,[1]Sheet1!$C$1:$D$191,2,FALSE)</f>
        <v>63</v>
      </c>
    </row>
    <row r="499" spans="1:39" x14ac:dyDescent="0.35">
      <c r="A499">
        <v>2018</v>
      </c>
      <c r="B499" t="s">
        <v>66</v>
      </c>
      <c r="C499">
        <v>63</v>
      </c>
      <c r="D499" t="s">
        <v>267</v>
      </c>
      <c r="E499">
        <v>202828331.480196</v>
      </c>
      <c r="F499">
        <v>550551333.19152594</v>
      </c>
      <c r="G499">
        <v>753379664.67172205</v>
      </c>
      <c r="H499">
        <v>1602194079769.04</v>
      </c>
      <c r="I499">
        <v>1725373496825.4299</v>
      </c>
      <c r="J499">
        <v>2.9074037737709165E-2</v>
      </c>
      <c r="K499">
        <v>31059.266808792701</v>
      </c>
      <c r="L499">
        <v>2.4622462161332691E-2</v>
      </c>
      <c r="M499">
        <v>30312.888850080901</v>
      </c>
      <c r="N499">
        <v>1.4758393500264499</v>
      </c>
      <c r="O499">
        <v>78.988865513436295</v>
      </c>
      <c r="P499">
        <v>141.15501440686299</v>
      </c>
      <c r="Q499">
        <v>24.918035798704501</v>
      </c>
      <c r="R499">
        <v>51585058</v>
      </c>
      <c r="S499">
        <v>4.3446008073959709E-3</v>
      </c>
      <c r="T499">
        <v>47.62</v>
      </c>
      <c r="U499">
        <v>8</v>
      </c>
      <c r="V499">
        <v>267.07868999999999</v>
      </c>
      <c r="W499">
        <v>1.5640909999999999</v>
      </c>
      <c r="X499">
        <v>82.126429999999999</v>
      </c>
      <c r="Y499">
        <v>96.022900000000007</v>
      </c>
      <c r="Z499">
        <v>93.328178405761705</v>
      </c>
      <c r="AA499">
        <v>2019</v>
      </c>
      <c r="AB499">
        <v>2019</v>
      </c>
      <c r="AC499">
        <v>0</v>
      </c>
      <c r="AD499">
        <v>0</v>
      </c>
      <c r="AE499">
        <v>0</v>
      </c>
      <c r="AF499">
        <v>1</v>
      </c>
      <c r="AJ499">
        <v>1.199541568756104</v>
      </c>
      <c r="AK499">
        <v>1.0937497615814209</v>
      </c>
      <c r="AL499">
        <v>2.8573475000000001E-2</v>
      </c>
      <c r="AM499">
        <f>VLOOKUP(D499,[1]Sheet1!$C$1:$D$191,2,FALSE)</f>
        <v>63</v>
      </c>
    </row>
    <row r="500" spans="1:39" x14ac:dyDescent="0.35">
      <c r="A500">
        <v>2019</v>
      </c>
      <c r="B500" t="s">
        <v>66</v>
      </c>
      <c r="C500">
        <v>63</v>
      </c>
      <c r="D500" t="s">
        <v>267</v>
      </c>
      <c r="E500">
        <v>157306558.7455017</v>
      </c>
      <c r="F500">
        <v>1447179359.0061929</v>
      </c>
      <c r="G500">
        <v>1604485917.7516942</v>
      </c>
      <c r="H500">
        <v>1638146960195.0601</v>
      </c>
      <c r="I500">
        <v>1651422932447.77</v>
      </c>
      <c r="J500">
        <v>2.2439778601105995E-2</v>
      </c>
      <c r="K500">
        <v>31645.949834330699</v>
      </c>
      <c r="L500">
        <v>1.8889146004306537E-2</v>
      </c>
      <c r="M500">
        <v>31059.266808792701</v>
      </c>
      <c r="N500">
        <v>0.38300030360813597</v>
      </c>
      <c r="O500">
        <v>75.757138965218999</v>
      </c>
      <c r="P500">
        <v>151.25805237220001</v>
      </c>
      <c r="Q500">
        <v>27.512451351478301</v>
      </c>
      <c r="R500">
        <v>51764822</v>
      </c>
      <c r="S500">
        <v>3.4848075580335685E-3</v>
      </c>
      <c r="T500">
        <v>47.767000000000003</v>
      </c>
      <c r="U500">
        <v>8</v>
      </c>
      <c r="V500">
        <v>264.33663999999999</v>
      </c>
      <c r="W500">
        <v>2.361961</v>
      </c>
      <c r="X500">
        <v>56.887540000000001</v>
      </c>
      <c r="Y500">
        <v>96.157600000000002</v>
      </c>
      <c r="Z500">
        <v>93.998916625976605</v>
      </c>
      <c r="AA500">
        <v>2019</v>
      </c>
      <c r="AB500">
        <v>2019</v>
      </c>
      <c r="AC500">
        <v>1</v>
      </c>
      <c r="AD500">
        <v>1</v>
      </c>
      <c r="AE500">
        <v>0</v>
      </c>
      <c r="AF500">
        <v>1</v>
      </c>
      <c r="AG500">
        <v>0</v>
      </c>
      <c r="AH500">
        <v>0</v>
      </c>
      <c r="AI500">
        <v>1</v>
      </c>
      <c r="AJ500">
        <v>1.156206011772156</v>
      </c>
      <c r="AK500">
        <v>1.0592585802078249</v>
      </c>
      <c r="AL500">
        <v>4.3227150000000013E-2</v>
      </c>
      <c r="AM500">
        <f>VLOOKUP(D500,[1]Sheet1!$C$1:$D$191,2,FALSE)</f>
        <v>63</v>
      </c>
    </row>
    <row r="501" spans="1:39" x14ac:dyDescent="0.35">
      <c r="A501">
        <v>2020</v>
      </c>
      <c r="B501" t="s">
        <v>66</v>
      </c>
      <c r="C501">
        <v>63</v>
      </c>
      <c r="D501" t="s">
        <v>267</v>
      </c>
      <c r="E501">
        <v>179959644.1470201</v>
      </c>
      <c r="F501">
        <v>1123636443.4363999</v>
      </c>
      <c r="G501">
        <v>1303596087.58342</v>
      </c>
      <c r="H501">
        <v>1626525694049.9299</v>
      </c>
      <c r="I501">
        <v>1644312831906.1699</v>
      </c>
      <c r="J501">
        <v>-7.0941535939769047E-3</v>
      </c>
      <c r="K501">
        <v>31378.157934064799</v>
      </c>
      <c r="L501">
        <v>-8.4621223779919371E-3</v>
      </c>
      <c r="M501">
        <v>31645.949834330699</v>
      </c>
      <c r="N501">
        <v>0.53728802341173698</v>
      </c>
      <c r="O501">
        <v>69.034045090956198</v>
      </c>
      <c r="P501">
        <v>164.13617351072</v>
      </c>
      <c r="Q501">
        <v>29.7259285261153</v>
      </c>
      <c r="R501">
        <v>51836239</v>
      </c>
      <c r="S501">
        <v>1.3796434961178849E-3</v>
      </c>
      <c r="T501">
        <v>47.347000000000001</v>
      </c>
      <c r="U501">
        <v>8</v>
      </c>
      <c r="V501">
        <v>259.45571999999999</v>
      </c>
      <c r="W501">
        <v>1.686526</v>
      </c>
      <c r="X501">
        <v>56.445270000000001</v>
      </c>
      <c r="Y501">
        <v>96.505099999999999</v>
      </c>
      <c r="Z501">
        <v>96.876770019531193</v>
      </c>
      <c r="AA501">
        <v>2019</v>
      </c>
      <c r="AB501">
        <v>2019</v>
      </c>
      <c r="AC501">
        <v>1</v>
      </c>
      <c r="AD501">
        <v>1</v>
      </c>
      <c r="AE501">
        <v>0</v>
      </c>
      <c r="AF501">
        <v>1</v>
      </c>
      <c r="AG501">
        <v>1</v>
      </c>
      <c r="AH501">
        <v>1</v>
      </c>
      <c r="AI501">
        <v>1</v>
      </c>
      <c r="AJ501">
        <v>1.1474230289459231</v>
      </c>
      <c r="AK501">
        <v>1.0249507427215581</v>
      </c>
      <c r="AL501">
        <v>2.355525E-2</v>
      </c>
      <c r="AM501">
        <f>VLOOKUP(D501,[1]Sheet1!$C$1:$D$191,2,FALSE)</f>
        <v>63</v>
      </c>
    </row>
    <row r="502" spans="1:39" x14ac:dyDescent="0.35">
      <c r="A502">
        <v>2013</v>
      </c>
      <c r="B502" t="s">
        <v>67</v>
      </c>
      <c r="C502">
        <v>64</v>
      </c>
      <c r="D502" t="s">
        <v>350</v>
      </c>
      <c r="E502">
        <v>93474.123503157811</v>
      </c>
      <c r="G502">
        <v>93474.123503157811</v>
      </c>
      <c r="H502">
        <v>113342577209.70799</v>
      </c>
      <c r="I502">
        <v>174168116687.215</v>
      </c>
      <c r="J502">
        <v>1.1494644476085922E-2</v>
      </c>
      <c r="K502">
        <v>32311.179519302499</v>
      </c>
      <c r="L502">
        <v>-3.7737173736072618E-2</v>
      </c>
      <c r="M502">
        <v>33578.330823350603</v>
      </c>
      <c r="N502">
        <v>2.6822968408503902</v>
      </c>
      <c r="O502">
        <v>97.605491237712101</v>
      </c>
      <c r="P502">
        <v>59.751887301837201</v>
      </c>
      <c r="R502">
        <v>3507844</v>
      </c>
      <c r="S502">
        <v>5.1162548181674615E-2</v>
      </c>
      <c r="U502">
        <v>3.78</v>
      </c>
      <c r="V502">
        <v>53.663272999999997</v>
      </c>
      <c r="W502">
        <v>2.9994510000000001</v>
      </c>
      <c r="X502">
        <v>100</v>
      </c>
      <c r="Y502">
        <v>75.459999999999994</v>
      </c>
      <c r="AF502">
        <v>0</v>
      </c>
      <c r="AJ502">
        <v>0.36085838079452509</v>
      </c>
      <c r="AK502">
        <v>-7.3968350887298584E-2</v>
      </c>
      <c r="AL502">
        <v>5.4074274999999998E-2</v>
      </c>
      <c r="AM502">
        <f>VLOOKUP(D502,[1]Sheet1!$C$1:$D$191,2,FALSE)</f>
        <v>64</v>
      </c>
    </row>
    <row r="503" spans="1:39" x14ac:dyDescent="0.35">
      <c r="A503">
        <v>2015</v>
      </c>
      <c r="B503" t="s">
        <v>67</v>
      </c>
      <c r="C503">
        <v>64</v>
      </c>
      <c r="D503" t="s">
        <v>350</v>
      </c>
      <c r="E503">
        <v>6195</v>
      </c>
      <c r="G503">
        <v>6195</v>
      </c>
      <c r="H503">
        <v>114585555830.916</v>
      </c>
      <c r="I503">
        <v>114585555830.916</v>
      </c>
      <c r="J503">
        <v>5.9277175939966521E-3</v>
      </c>
      <c r="K503">
        <v>29882.2126867068</v>
      </c>
      <c r="L503">
        <v>-3.8327001209884359E-2</v>
      </c>
      <c r="M503">
        <v>31073.1534776392</v>
      </c>
      <c r="N503">
        <v>3.2717016609213299</v>
      </c>
      <c r="O503">
        <v>98.699988405886899</v>
      </c>
      <c r="P503">
        <v>98.510790270980095</v>
      </c>
      <c r="R503">
        <v>3834574</v>
      </c>
      <c r="S503">
        <v>4.6018468709798151E-2</v>
      </c>
      <c r="U503">
        <v>3.85</v>
      </c>
      <c r="V503">
        <v>56.5137</v>
      </c>
      <c r="W503">
        <v>2.4025189999999998</v>
      </c>
      <c r="X503">
        <v>80.785129999999995</v>
      </c>
      <c r="Y503">
        <v>82</v>
      </c>
      <c r="Z503">
        <v>58.943455497382203</v>
      </c>
      <c r="AF503">
        <v>0</v>
      </c>
      <c r="AJ503">
        <v>-2.0002828910946849E-2</v>
      </c>
      <c r="AK503">
        <v>-0.19486650824546811</v>
      </c>
      <c r="AL503">
        <v>1.9110474999999998E-2</v>
      </c>
      <c r="AM503">
        <f>VLOOKUP(D503,[1]Sheet1!$C$1:$D$191,2,FALSE)</f>
        <v>64</v>
      </c>
    </row>
    <row r="504" spans="1:39" x14ac:dyDescent="0.35">
      <c r="A504">
        <v>2017</v>
      </c>
      <c r="B504" t="s">
        <v>67</v>
      </c>
      <c r="C504">
        <v>64</v>
      </c>
      <c r="D504" t="s">
        <v>350</v>
      </c>
      <c r="E504">
        <v>310682.75410999998</v>
      </c>
      <c r="G504">
        <v>310682.75410999998</v>
      </c>
      <c r="H504">
        <v>112380894485.05499</v>
      </c>
      <c r="I504">
        <v>120687539675.517</v>
      </c>
      <c r="J504">
        <v>-4.7122215800050909E-2</v>
      </c>
      <c r="K504">
        <v>27048.370536393701</v>
      </c>
      <c r="L504">
        <v>-8.1687902075022037E-2</v>
      </c>
      <c r="M504">
        <v>29454.4421199637</v>
      </c>
      <c r="N504">
        <v>2.17183298510006</v>
      </c>
      <c r="O504">
        <v>97.840046632912404</v>
      </c>
      <c r="P504">
        <v>98.699107324677001</v>
      </c>
      <c r="R504">
        <v>4154812</v>
      </c>
      <c r="S504">
        <v>3.7640456172878971E-2</v>
      </c>
      <c r="U504">
        <v>3.85</v>
      </c>
      <c r="V504">
        <v>65.982990999999998</v>
      </c>
      <c r="W504">
        <v>2.6337160000000002</v>
      </c>
      <c r="X504">
        <v>81.456400000000002</v>
      </c>
      <c r="Y504">
        <v>98</v>
      </c>
      <c r="Z504">
        <v>54.915962235926699</v>
      </c>
      <c r="AF504">
        <v>0</v>
      </c>
      <c r="AJ504">
        <v>8.0755129456520081E-2</v>
      </c>
      <c r="AK504">
        <v>-7.8654877841472626E-2</v>
      </c>
      <c r="AL504">
        <v>3.3354700000000001E-2</v>
      </c>
      <c r="AM504">
        <f>VLOOKUP(D504,[1]Sheet1!$C$1:$D$191,2,FALSE)</f>
        <v>64</v>
      </c>
    </row>
    <row r="505" spans="1:39" x14ac:dyDescent="0.35">
      <c r="A505">
        <v>2018</v>
      </c>
      <c r="B505" t="s">
        <v>67</v>
      </c>
      <c r="C505">
        <v>64</v>
      </c>
      <c r="D505" t="s">
        <v>350</v>
      </c>
      <c r="E505">
        <v>180000</v>
      </c>
      <c r="G505">
        <v>180000</v>
      </c>
      <c r="H505">
        <v>115463873883.03</v>
      </c>
      <c r="I505">
        <v>138646316321.59601</v>
      </c>
      <c r="J505">
        <v>2.7433305386130355E-2</v>
      </c>
      <c r="K505">
        <v>26706.019033825502</v>
      </c>
      <c r="L505">
        <v>-1.2657010229417096E-2</v>
      </c>
      <c r="M505">
        <v>27048.370536393701</v>
      </c>
      <c r="N505">
        <v>0.54313314819956704</v>
      </c>
      <c r="O505">
        <v>102.785630698094</v>
      </c>
      <c r="P505">
        <v>90.628071350583298</v>
      </c>
      <c r="R505">
        <v>4323515</v>
      </c>
      <c r="S505">
        <v>4.0604243946537173E-2</v>
      </c>
      <c r="U505">
        <v>3.85</v>
      </c>
      <c r="V505">
        <v>73.255266000000006</v>
      </c>
      <c r="W505">
        <v>2.7168589999999999</v>
      </c>
      <c r="X505">
        <v>81.639560000000003</v>
      </c>
      <c r="Y505">
        <v>99.598799999999997</v>
      </c>
      <c r="Z505">
        <v>52.106689360177398</v>
      </c>
      <c r="AF505">
        <v>0</v>
      </c>
      <c r="AI505">
        <v>1</v>
      </c>
      <c r="AJ505">
        <v>0.186258539557457</v>
      </c>
      <c r="AK505">
        <v>1.141818333417177E-2</v>
      </c>
      <c r="AL505">
        <v>2.5022849999999999E-2</v>
      </c>
      <c r="AM505">
        <f>VLOOKUP(D505,[1]Sheet1!$C$1:$D$191,2,FALSE)</f>
        <v>64</v>
      </c>
    </row>
    <row r="506" spans="1:39" x14ac:dyDescent="0.35">
      <c r="A506">
        <v>2019</v>
      </c>
      <c r="B506" t="s">
        <v>67</v>
      </c>
      <c r="C506">
        <v>64</v>
      </c>
      <c r="D506" t="s">
        <v>350</v>
      </c>
      <c r="E506">
        <v>5000</v>
      </c>
      <c r="G506">
        <v>5000</v>
      </c>
      <c r="H506">
        <v>118077764579.78</v>
      </c>
      <c r="I506">
        <v>140856394870.01999</v>
      </c>
      <c r="J506">
        <v>2.2638169055353076E-2</v>
      </c>
      <c r="K506">
        <v>26580.226300826002</v>
      </c>
      <c r="L506">
        <v>-4.7102764676447114E-3</v>
      </c>
      <c r="M506">
        <v>26706.019033825502</v>
      </c>
      <c r="N506">
        <v>1.0918480265585599</v>
      </c>
      <c r="O506">
        <v>91.685712383417197</v>
      </c>
      <c r="P506">
        <v>91.957058122101898</v>
      </c>
      <c r="R506">
        <v>4442316</v>
      </c>
      <c r="S506">
        <v>2.7477873905838189E-2</v>
      </c>
      <c r="U506">
        <v>3.93</v>
      </c>
      <c r="V506">
        <v>81.070014999999998</v>
      </c>
      <c r="W506">
        <v>2.5882239999999999</v>
      </c>
      <c r="X506">
        <v>81.12106</v>
      </c>
      <c r="Y506">
        <v>99.542699999999996</v>
      </c>
      <c r="Z506">
        <v>50.440059529918898</v>
      </c>
      <c r="AF506">
        <v>0</v>
      </c>
      <c r="AI506">
        <v>1</v>
      </c>
      <c r="AJ506">
        <v>0.19306102395057681</v>
      </c>
      <c r="AK506">
        <v>5.0189439207315438E-2</v>
      </c>
      <c r="AL506">
        <v>2.503905E-2</v>
      </c>
      <c r="AM506">
        <f>VLOOKUP(D506,[1]Sheet1!$C$1:$D$191,2,FALSE)</f>
        <v>64</v>
      </c>
    </row>
    <row r="507" spans="1:39" x14ac:dyDescent="0.35">
      <c r="A507">
        <v>2020</v>
      </c>
      <c r="B507" t="s">
        <v>67</v>
      </c>
      <c r="C507">
        <v>64</v>
      </c>
      <c r="D507" t="s">
        <v>350</v>
      </c>
      <c r="E507">
        <v>22623.148420000001</v>
      </c>
      <c r="G507">
        <v>22623.148420000001</v>
      </c>
      <c r="H507">
        <v>112389452571.326</v>
      </c>
      <c r="I507">
        <v>111045470461.207</v>
      </c>
      <c r="J507">
        <v>-4.8174286062221731E-2</v>
      </c>
      <c r="K507">
        <v>25541.507497459999</v>
      </c>
      <c r="L507">
        <v>-3.9078629038373662E-2</v>
      </c>
      <c r="M507">
        <v>26580.226300826002</v>
      </c>
      <c r="N507">
        <v>2.1017295482740002</v>
      </c>
      <c r="O507">
        <v>82.010745830489995</v>
      </c>
      <c r="R507">
        <v>4400267</v>
      </c>
      <c r="S507">
        <v>-9.4655580557528995E-3</v>
      </c>
      <c r="U507">
        <v>3.8</v>
      </c>
      <c r="V507">
        <v>78.562769000000003</v>
      </c>
      <c r="W507">
        <v>2.1419929999999998</v>
      </c>
      <c r="X507">
        <v>82.038920000000005</v>
      </c>
      <c r="Y507">
        <v>99.105900000000005</v>
      </c>
      <c r="Z507">
        <v>53.731878917366998</v>
      </c>
      <c r="AF507">
        <v>0</v>
      </c>
      <c r="AI507">
        <v>1</v>
      </c>
      <c r="AJ507">
        <v>0.31002780795097351</v>
      </c>
      <c r="AK507">
        <v>0.27375152707099909</v>
      </c>
      <c r="AL507">
        <v>3.7261450000000002E-2</v>
      </c>
      <c r="AM507">
        <f>VLOOKUP(D507,[1]Sheet1!$C$1:$D$191,2,FALSE)</f>
        <v>64</v>
      </c>
    </row>
    <row r="508" spans="1:39" x14ac:dyDescent="0.35">
      <c r="A508">
        <v>2013</v>
      </c>
      <c r="B508" t="s">
        <v>68</v>
      </c>
      <c r="C508">
        <v>65</v>
      </c>
      <c r="D508" t="s">
        <v>268</v>
      </c>
      <c r="E508">
        <v>260104</v>
      </c>
      <c r="F508">
        <v>1663275</v>
      </c>
      <c r="G508">
        <v>1923379</v>
      </c>
      <c r="H508">
        <v>48494923363.262497</v>
      </c>
      <c r="I508">
        <v>46880103080.597</v>
      </c>
      <c r="J508">
        <v>3.8278734986015077E-2</v>
      </c>
      <c r="K508">
        <v>8443.5385652878394</v>
      </c>
      <c r="L508">
        <v>-5.3500451563636343E-2</v>
      </c>
      <c r="M508">
        <v>8920.8056984673003</v>
      </c>
      <c r="N508">
        <v>4.8210195629739898</v>
      </c>
      <c r="O508">
        <v>86.174328592056497</v>
      </c>
      <c r="P508">
        <v>93.317292930294201</v>
      </c>
      <c r="Q508">
        <v>26.691992996117801</v>
      </c>
      <c r="R508">
        <v>5743436</v>
      </c>
      <c r="S508">
        <v>9.6966962848818755E-2</v>
      </c>
      <c r="U508">
        <v>5.05</v>
      </c>
      <c r="V508">
        <v>34.950299999999999</v>
      </c>
      <c r="W508">
        <v>2.1465109999999998</v>
      </c>
      <c r="X508">
        <v>49.181629999999998</v>
      </c>
      <c r="Y508">
        <v>70.5</v>
      </c>
      <c r="Z508">
        <v>48.308921326346102</v>
      </c>
      <c r="AJ508">
        <v>-0.73182553052902222</v>
      </c>
      <c r="AK508">
        <v>-8.0781765282154083E-2</v>
      </c>
      <c r="AL508">
        <v>0.23454292500000001</v>
      </c>
      <c r="AM508">
        <f>VLOOKUP(D508,[1]Sheet1!$C$1:$D$191,2,FALSE)</f>
        <v>65</v>
      </c>
    </row>
    <row r="509" spans="1:39" x14ac:dyDescent="0.35">
      <c r="A509">
        <v>2014</v>
      </c>
      <c r="B509" t="s">
        <v>68</v>
      </c>
      <c r="C509">
        <v>65</v>
      </c>
      <c r="D509" t="s">
        <v>268</v>
      </c>
      <c r="E509">
        <v>453461</v>
      </c>
      <c r="F509">
        <v>1850775</v>
      </c>
      <c r="G509">
        <v>2304236</v>
      </c>
      <c r="H509">
        <v>49699566407.483299</v>
      </c>
      <c r="I509">
        <v>48095213746.600304</v>
      </c>
      <c r="J509">
        <v>2.484060105007577E-2</v>
      </c>
      <c r="K509">
        <v>7830.4151113336002</v>
      </c>
      <c r="L509">
        <v>-7.2614514544274839E-2</v>
      </c>
      <c r="M509">
        <v>8443.5385652878394</v>
      </c>
      <c r="N509">
        <v>1.8546042134091001</v>
      </c>
      <c r="O509">
        <v>79.817156592562696</v>
      </c>
      <c r="P509">
        <v>98.225547584796701</v>
      </c>
      <c r="Q509">
        <v>25.9468799781231</v>
      </c>
      <c r="R509">
        <v>6346990</v>
      </c>
      <c r="S509">
        <v>0.10508587542370107</v>
      </c>
      <c r="U509">
        <v>5.12</v>
      </c>
      <c r="V509">
        <v>35.115490000000001</v>
      </c>
      <c r="W509">
        <v>2.09598</v>
      </c>
      <c r="X509">
        <v>49.840980000000002</v>
      </c>
      <c r="Y509">
        <v>73</v>
      </c>
      <c r="Z509">
        <v>42.935340881347699</v>
      </c>
      <c r="AJ509">
        <v>-0.72116243839263916</v>
      </c>
      <c r="AK509">
        <v>-0.29542908072471619</v>
      </c>
      <c r="AL509">
        <v>8.5173275000000007E-2</v>
      </c>
      <c r="AM509">
        <f>VLOOKUP(D509,[1]Sheet1!$C$1:$D$191,2,FALSE)</f>
        <v>65</v>
      </c>
    </row>
    <row r="510" spans="1:39" x14ac:dyDescent="0.35">
      <c r="A510">
        <v>2015</v>
      </c>
      <c r="B510" t="s">
        <v>68</v>
      </c>
      <c r="C510">
        <v>65</v>
      </c>
      <c r="D510" t="s">
        <v>268</v>
      </c>
      <c r="E510">
        <v>975575.84467439901</v>
      </c>
      <c r="F510">
        <v>3155775</v>
      </c>
      <c r="G510">
        <v>4131350.8446743991</v>
      </c>
      <c r="H510">
        <v>49929337836.815903</v>
      </c>
      <c r="I510">
        <v>49929337836.815903</v>
      </c>
      <c r="J510">
        <v>4.6232079259751167E-3</v>
      </c>
      <c r="K510">
        <v>7714.1099998804002</v>
      </c>
      <c r="L510">
        <v>-1.4852994355926555E-2</v>
      </c>
      <c r="M510">
        <v>7830.4151113336002</v>
      </c>
      <c r="N510">
        <v>-3.7491452479962901</v>
      </c>
      <c r="O510">
        <v>71.839042634781094</v>
      </c>
      <c r="P510">
        <v>100.566123866429</v>
      </c>
      <c r="Q510">
        <v>22.8975511838178</v>
      </c>
      <c r="R510">
        <v>6472469</v>
      </c>
      <c r="S510">
        <v>1.9769843658174979E-2</v>
      </c>
      <c r="U510">
        <v>4.8600000000000003</v>
      </c>
      <c r="V510">
        <v>35.961137000000001</v>
      </c>
      <c r="W510">
        <v>2.4637579999999999</v>
      </c>
      <c r="X510">
        <v>40.306190000000001</v>
      </c>
      <c r="Y510">
        <v>74</v>
      </c>
      <c r="Z510">
        <v>39.2905242294107</v>
      </c>
      <c r="AJ510">
        <v>-0.80723965167999268</v>
      </c>
      <c r="AK510">
        <v>-0.36556285619735718</v>
      </c>
      <c r="AL510">
        <v>6.778845E-2</v>
      </c>
      <c r="AM510">
        <f>VLOOKUP(D510,[1]Sheet1!$C$1:$D$191,2,FALSE)</f>
        <v>65</v>
      </c>
    </row>
    <row r="511" spans="1:39" x14ac:dyDescent="0.35">
      <c r="A511">
        <v>2016</v>
      </c>
      <c r="B511" t="s">
        <v>68</v>
      </c>
      <c r="C511">
        <v>65</v>
      </c>
      <c r="D511" t="s">
        <v>268</v>
      </c>
      <c r="E511">
        <v>776478.50408901623</v>
      </c>
      <c r="F511">
        <v>3704925</v>
      </c>
      <c r="G511">
        <v>4481403.5040890165</v>
      </c>
      <c r="H511">
        <v>50705514062.860802</v>
      </c>
      <c r="I511">
        <v>51147308774.129402</v>
      </c>
      <c r="J511">
        <v>1.5545494085695196E-2</v>
      </c>
      <c r="K511">
        <v>8019.1416913426001</v>
      </c>
      <c r="L511">
        <v>3.9542045870091184E-2</v>
      </c>
      <c r="M511">
        <v>7714.1099998804002</v>
      </c>
      <c r="N511">
        <v>-0.78335962436150797</v>
      </c>
      <c r="O511">
        <v>67.723617790811602</v>
      </c>
      <c r="P511">
        <v>103.999348177296</v>
      </c>
      <c r="Q511">
        <v>25.847004898603</v>
      </c>
      <c r="R511">
        <v>6323060</v>
      </c>
      <c r="S511">
        <v>-2.3083772205011718E-2</v>
      </c>
      <c r="U511">
        <v>4.8600000000000003</v>
      </c>
      <c r="V511">
        <v>36.577885000000002</v>
      </c>
      <c r="W511">
        <v>2.5526749999999998</v>
      </c>
      <c r="X511">
        <v>39.450920000000004</v>
      </c>
      <c r="Y511">
        <v>76.11</v>
      </c>
      <c r="Z511">
        <v>42.507477145690899</v>
      </c>
      <c r="AJ511">
        <v>-0.81082236766815186</v>
      </c>
      <c r="AK511">
        <v>-0.41677397489547729</v>
      </c>
      <c r="AL511">
        <v>7.1782974999999999E-2</v>
      </c>
      <c r="AM511">
        <f>VLOOKUP(D511,[1]Sheet1!$C$1:$D$191,2,FALSE)</f>
        <v>65</v>
      </c>
    </row>
    <row r="512" spans="1:39" x14ac:dyDescent="0.35">
      <c r="A512">
        <v>2017</v>
      </c>
      <c r="B512" t="s">
        <v>68</v>
      </c>
      <c r="C512">
        <v>65</v>
      </c>
      <c r="D512" t="s">
        <v>268</v>
      </c>
      <c r="E512">
        <v>612696</v>
      </c>
      <c r="F512">
        <v>5284925</v>
      </c>
      <c r="G512">
        <v>5897621</v>
      </c>
      <c r="H512">
        <v>51163399287.7034</v>
      </c>
      <c r="I512">
        <v>53027680685.903801</v>
      </c>
      <c r="J512">
        <v>9.0302846407384219E-3</v>
      </c>
      <c r="K512">
        <v>8305.5740542572094</v>
      </c>
      <c r="L512">
        <v>3.571858110748178E-2</v>
      </c>
      <c r="M512">
        <v>8019.1416913426001</v>
      </c>
      <c r="N512">
        <v>4.3213521830319097</v>
      </c>
      <c r="O512">
        <v>68.455429259327602</v>
      </c>
      <c r="P512">
        <v>106.567725062094</v>
      </c>
      <c r="Q512">
        <v>25.983589260113899</v>
      </c>
      <c r="R512">
        <v>6160128</v>
      </c>
      <c r="S512">
        <v>-2.5767903515070235E-2</v>
      </c>
      <c r="U512">
        <v>4.72</v>
      </c>
      <c r="V512">
        <v>37.992623000000002</v>
      </c>
      <c r="W512">
        <v>2.8175669999999999</v>
      </c>
      <c r="X512">
        <v>39.056130000000003</v>
      </c>
      <c r="Y512">
        <v>78.180800000000005</v>
      </c>
      <c r="Z512">
        <v>44.1878772500135</v>
      </c>
      <c r="AJ512">
        <v>-0.81020307540893555</v>
      </c>
      <c r="AK512">
        <v>-0.37862053513526922</v>
      </c>
      <c r="AL512">
        <v>7.2423625000000005E-2</v>
      </c>
      <c r="AM512">
        <f>VLOOKUP(D512,[1]Sheet1!$C$1:$D$191,2,FALSE)</f>
        <v>65</v>
      </c>
    </row>
    <row r="513" spans="1:39" x14ac:dyDescent="0.35">
      <c r="A513">
        <v>2018</v>
      </c>
      <c r="B513" t="s">
        <v>68</v>
      </c>
      <c r="C513">
        <v>65</v>
      </c>
      <c r="D513" t="s">
        <v>268</v>
      </c>
      <c r="E513">
        <v>170075.45714400001</v>
      </c>
      <c r="F513">
        <v>6064325</v>
      </c>
      <c r="G513">
        <v>6234400.4571439996</v>
      </c>
      <c r="H513">
        <v>50199119756.200798</v>
      </c>
      <c r="I513">
        <v>54901519155.555603</v>
      </c>
      <c r="J513">
        <v>-1.8847057563166181E-2</v>
      </c>
      <c r="K513">
        <v>8388.7235123834998</v>
      </c>
      <c r="L513">
        <v>1.0011283697322565E-2</v>
      </c>
      <c r="M513">
        <v>8305.5740542572094</v>
      </c>
      <c r="N513">
        <v>6.0769890788960703</v>
      </c>
      <c r="O513">
        <v>68.257307304371807</v>
      </c>
      <c r="Q513">
        <v>29.346196765678101</v>
      </c>
      <c r="R513">
        <v>5984119</v>
      </c>
      <c r="S513">
        <v>-2.8572295900344928E-2</v>
      </c>
      <c r="U513">
        <v>4.63</v>
      </c>
      <c r="V513">
        <v>39.413057000000002</v>
      </c>
      <c r="W513">
        <v>2.9573839999999998</v>
      </c>
      <c r="X513">
        <v>41.28293</v>
      </c>
      <c r="Y513">
        <v>80.900000000000006</v>
      </c>
      <c r="Z513">
        <v>47.2296269060678</v>
      </c>
      <c r="AJ513">
        <v>-0.78259128332138062</v>
      </c>
      <c r="AK513">
        <v>-0.45462140440940862</v>
      </c>
      <c r="AL513">
        <v>0.21729835</v>
      </c>
      <c r="AM513">
        <f>VLOOKUP(D513,[1]Sheet1!$C$1:$D$191,2,FALSE)</f>
        <v>65</v>
      </c>
    </row>
    <row r="514" spans="1:39" x14ac:dyDescent="0.35">
      <c r="A514">
        <v>2019</v>
      </c>
      <c r="B514" t="s">
        <v>68</v>
      </c>
      <c r="C514">
        <v>65</v>
      </c>
      <c r="D514" t="s">
        <v>268</v>
      </c>
      <c r="E514">
        <v>54129.281151260002</v>
      </c>
      <c r="F514">
        <v>232507719.09526679</v>
      </c>
      <c r="G514">
        <v>232561848.37641805</v>
      </c>
      <c r="H514">
        <v>46727888410.684799</v>
      </c>
      <c r="I514">
        <v>51605959131.274101</v>
      </c>
      <c r="J514">
        <v>-6.9149247285102411E-2</v>
      </c>
      <c r="K514">
        <v>8064.0487341623602</v>
      </c>
      <c r="L514">
        <v>-3.8703716690847198E-2</v>
      </c>
      <c r="M514">
        <v>8388.7235123834998</v>
      </c>
      <c r="N514">
        <v>3.0053894939038299</v>
      </c>
      <c r="O514">
        <v>62.980916010160001</v>
      </c>
      <c r="Q514">
        <v>29.1875576254008</v>
      </c>
      <c r="R514">
        <v>5794594</v>
      </c>
      <c r="S514">
        <v>-3.1671328728589791E-2</v>
      </c>
      <c r="T514">
        <v>48.54</v>
      </c>
      <c r="U514">
        <v>4.3600000000000003</v>
      </c>
      <c r="V514">
        <v>39.254866999999997</v>
      </c>
      <c r="W514">
        <v>2.7964009999999999</v>
      </c>
      <c r="X514">
        <v>42.689819999999997</v>
      </c>
      <c r="Y514">
        <v>81.481200000000001</v>
      </c>
      <c r="Z514">
        <v>50.148393710421502</v>
      </c>
      <c r="AJ514">
        <v>-0.85276347398757935</v>
      </c>
      <c r="AK514">
        <v>-0.53285002708435059</v>
      </c>
      <c r="AL514">
        <v>0.14230000000000001</v>
      </c>
      <c r="AM514">
        <f>VLOOKUP(D514,[1]Sheet1!$C$1:$D$191,2,FALSE)</f>
        <v>65</v>
      </c>
    </row>
    <row r="515" spans="1:39" x14ac:dyDescent="0.35">
      <c r="A515">
        <v>2020</v>
      </c>
      <c r="B515" t="s">
        <v>68</v>
      </c>
      <c r="C515">
        <v>65</v>
      </c>
      <c r="D515" t="s">
        <v>268</v>
      </c>
      <c r="E515">
        <v>674094.5948874501</v>
      </c>
      <c r="F515">
        <v>103036794.0055525</v>
      </c>
      <c r="G515">
        <v>103710888.60043995</v>
      </c>
      <c r="H515">
        <v>36728167162.873901</v>
      </c>
      <c r="I515">
        <v>31712128253.796101</v>
      </c>
      <c r="J515">
        <v>-0.21399899691432153</v>
      </c>
      <c r="K515">
        <v>6440.8284309292203</v>
      </c>
      <c r="L515">
        <v>-0.20129098381518515</v>
      </c>
      <c r="M515">
        <v>8064.0487341623602</v>
      </c>
      <c r="N515">
        <v>84.864333047204099</v>
      </c>
      <c r="O515">
        <v>50.129804287962699</v>
      </c>
      <c r="Q515">
        <v>14.9448707575471</v>
      </c>
      <c r="R515">
        <v>5702398</v>
      </c>
      <c r="S515">
        <v>-1.5910691931134435E-2</v>
      </c>
      <c r="U515">
        <v>4.16</v>
      </c>
      <c r="V515">
        <v>36.641739999999999</v>
      </c>
      <c r="W515">
        <v>5.5414580000000004</v>
      </c>
      <c r="X515">
        <v>57.583449999999999</v>
      </c>
      <c r="Y515">
        <v>82.066500000000005</v>
      </c>
      <c r="Z515">
        <v>51.567733764394198</v>
      </c>
      <c r="AJ515">
        <v>-0.90583854913711548</v>
      </c>
      <c r="AK515">
        <v>-0.7688145637512207</v>
      </c>
      <c r="AL515">
        <v>7.0796849999999995E-2</v>
      </c>
      <c r="AM515">
        <f>VLOOKUP(D515,[1]Sheet1!$C$1:$D$191,2,FALSE)</f>
        <v>65</v>
      </c>
    </row>
    <row r="516" spans="1:39" x14ac:dyDescent="0.35">
      <c r="A516">
        <v>2013</v>
      </c>
      <c r="B516" t="s">
        <v>69</v>
      </c>
      <c r="C516">
        <v>66</v>
      </c>
      <c r="D516" t="s">
        <v>269</v>
      </c>
      <c r="E516">
        <v>11902</v>
      </c>
      <c r="F516">
        <v>839050</v>
      </c>
      <c r="G516">
        <v>850952</v>
      </c>
      <c r="H516">
        <v>3205193907.9446201</v>
      </c>
      <c r="I516">
        <v>3177198100</v>
      </c>
      <c r="J516">
        <v>8.687287816396759E-2</v>
      </c>
      <c r="K516">
        <v>717.00728035897498</v>
      </c>
      <c r="L516">
        <v>6.3241100027268043E-2</v>
      </c>
      <c r="M516">
        <v>674.36001142223199</v>
      </c>
      <c r="N516">
        <v>7.5773068174139997</v>
      </c>
      <c r="P516">
        <v>11.8207741493068</v>
      </c>
      <c r="R516">
        <v>4470239</v>
      </c>
      <c r="S516">
        <v>2.2226170655079314E-2</v>
      </c>
      <c r="U516">
        <v>4.95</v>
      </c>
      <c r="V516">
        <v>1.6416189999999999</v>
      </c>
      <c r="W516">
        <v>0</v>
      </c>
      <c r="X516">
        <v>0</v>
      </c>
      <c r="Y516">
        <v>3.2</v>
      </c>
      <c r="AJ516">
        <v>-0.88225221633911133</v>
      </c>
      <c r="AK516">
        <v>-0.92324286699295044</v>
      </c>
      <c r="AL516">
        <v>3.2732400000000002E-2</v>
      </c>
      <c r="AM516">
        <f>VLOOKUP(D516,[1]Sheet1!$C$1:$D$191,2,FALSE)</f>
        <v>66</v>
      </c>
    </row>
    <row r="517" spans="1:39" x14ac:dyDescent="0.35">
      <c r="A517">
        <v>2014</v>
      </c>
      <c r="B517" t="s">
        <v>69</v>
      </c>
      <c r="C517">
        <v>66</v>
      </c>
      <c r="D517" t="s">
        <v>269</v>
      </c>
      <c r="E517">
        <v>116898.3427562843</v>
      </c>
      <c r="F517">
        <v>548350</v>
      </c>
      <c r="G517">
        <v>665248.34275628428</v>
      </c>
      <c r="H517">
        <v>3227674916.8657799</v>
      </c>
      <c r="I517">
        <v>3225652000</v>
      </c>
      <c r="J517">
        <v>7.0139310028752792E-3</v>
      </c>
      <c r="K517">
        <v>707.15769493014204</v>
      </c>
      <c r="L517">
        <v>-1.3737078686149004E-2</v>
      </c>
      <c r="M517">
        <v>717.00728035897498</v>
      </c>
      <c r="N517">
        <v>9.86111285574904</v>
      </c>
      <c r="P517">
        <v>11.440448183392601</v>
      </c>
      <c r="R517">
        <v>4564293</v>
      </c>
      <c r="S517">
        <v>2.1040038351417004E-2</v>
      </c>
      <c r="T517">
        <v>84.11</v>
      </c>
      <c r="U517">
        <v>4.95</v>
      </c>
      <c r="V517">
        <v>1.7918143</v>
      </c>
      <c r="W517">
        <v>0</v>
      </c>
      <c r="X517">
        <v>0</v>
      </c>
      <c r="Y517">
        <v>5.41</v>
      </c>
      <c r="AJ517">
        <v>-0.80382591485977173</v>
      </c>
      <c r="AK517">
        <v>-0.88049566745758057</v>
      </c>
      <c r="AL517">
        <v>4.8123550000000001E-2</v>
      </c>
      <c r="AM517">
        <f>VLOOKUP(D517,[1]Sheet1!$C$1:$D$191,2,FALSE)</f>
        <v>66</v>
      </c>
    </row>
    <row r="518" spans="1:39" x14ac:dyDescent="0.35">
      <c r="A518">
        <v>2015</v>
      </c>
      <c r="B518" t="s">
        <v>69</v>
      </c>
      <c r="C518">
        <v>66</v>
      </c>
      <c r="D518" t="s">
        <v>269</v>
      </c>
      <c r="E518">
        <v>43581</v>
      </c>
      <c r="F518">
        <v>15875</v>
      </c>
      <c r="G518">
        <v>59456</v>
      </c>
      <c r="H518">
        <v>3227075700</v>
      </c>
      <c r="I518">
        <v>3227075700</v>
      </c>
      <c r="J518">
        <v>-1.8564969559008244E-4</v>
      </c>
      <c r="K518">
        <v>692.59008235125702</v>
      </c>
      <c r="L518">
        <v>-2.0600232003873068E-2</v>
      </c>
      <c r="M518">
        <v>707.15769493014204</v>
      </c>
      <c r="N518">
        <v>7.74869687621322</v>
      </c>
      <c r="P518">
        <v>12.7449494275786</v>
      </c>
      <c r="R518">
        <v>4659431</v>
      </c>
      <c r="S518">
        <v>2.0843972987711349E-2</v>
      </c>
      <c r="U518">
        <v>4.95</v>
      </c>
      <c r="V518">
        <v>2.0078746999999999</v>
      </c>
      <c r="W518">
        <v>7.4804399999999998</v>
      </c>
      <c r="X518">
        <v>94.476889999999997</v>
      </c>
      <c r="Y518">
        <v>10</v>
      </c>
      <c r="AJ518">
        <v>-0.876839280128479</v>
      </c>
      <c r="AK518">
        <v>-0.90400046110153198</v>
      </c>
      <c r="AL518">
        <v>5.8857000000000007E-2</v>
      </c>
      <c r="AM518">
        <f>VLOOKUP(D518,[1]Sheet1!$C$1:$D$191,2,FALSE)</f>
        <v>66</v>
      </c>
    </row>
    <row r="519" spans="1:39" x14ac:dyDescent="0.35">
      <c r="A519">
        <v>2016</v>
      </c>
      <c r="B519" t="s">
        <v>69</v>
      </c>
      <c r="C519">
        <v>66</v>
      </c>
      <c r="D519" t="s">
        <v>269</v>
      </c>
      <c r="E519">
        <v>67065.239725649502</v>
      </c>
      <c r="F519">
        <v>129375</v>
      </c>
      <c r="G519">
        <v>196440.2397256495</v>
      </c>
      <c r="H519">
        <v>3176896008.3099999</v>
      </c>
      <c r="I519">
        <v>3398419600</v>
      </c>
      <c r="J519">
        <v>-1.5549586174876548E-2</v>
      </c>
      <c r="K519">
        <v>668.03151317560105</v>
      </c>
      <c r="L519">
        <v>-3.5459025188871743E-2</v>
      </c>
      <c r="M519">
        <v>692.59008235125702</v>
      </c>
      <c r="N519">
        <v>8.8342486833648799</v>
      </c>
      <c r="P519">
        <v>13.0206645953549</v>
      </c>
      <c r="R519">
        <v>4755608</v>
      </c>
      <c r="S519">
        <v>2.0641361573977595E-2</v>
      </c>
      <c r="T519">
        <v>83.915999999999997</v>
      </c>
      <c r="U519">
        <v>5.31</v>
      </c>
      <c r="V519">
        <v>1.9480295999999999</v>
      </c>
      <c r="W519">
        <v>6.8299469999999998</v>
      </c>
      <c r="X519">
        <v>93.090190000000007</v>
      </c>
      <c r="Y519">
        <v>15.7</v>
      </c>
      <c r="AJ519">
        <v>-0.96711981296539307</v>
      </c>
      <c r="AK519">
        <v>-0.97691577672958374</v>
      </c>
      <c r="AL519">
        <v>0.14619537499999999</v>
      </c>
      <c r="AM519">
        <f>VLOOKUP(D519,[1]Sheet1!$C$1:$D$191,2,FALSE)</f>
        <v>66</v>
      </c>
    </row>
    <row r="520" spans="1:39" x14ac:dyDescent="0.35">
      <c r="A520">
        <v>2017</v>
      </c>
      <c r="B520" t="s">
        <v>69</v>
      </c>
      <c r="C520">
        <v>66</v>
      </c>
      <c r="D520" t="s">
        <v>269</v>
      </c>
      <c r="E520">
        <v>126108</v>
      </c>
      <c r="F520">
        <v>795150</v>
      </c>
      <c r="G520">
        <v>921258</v>
      </c>
      <c r="H520">
        <v>3254893758.7341499</v>
      </c>
      <c r="I520">
        <v>3390703400</v>
      </c>
      <c r="J520">
        <v>2.4551559201222369E-2</v>
      </c>
      <c r="K520">
        <v>671.26089983535496</v>
      </c>
      <c r="L520">
        <v>4.8341831127134659E-3</v>
      </c>
      <c r="M520">
        <v>668.03151317560105</v>
      </c>
      <c r="N520">
        <v>12.419632390713801</v>
      </c>
      <c r="P520">
        <v>16.752353794963099</v>
      </c>
      <c r="R520">
        <v>4848925</v>
      </c>
      <c r="S520">
        <v>1.962251724700606E-2</v>
      </c>
      <c r="T520">
        <v>44.161999999999999</v>
      </c>
      <c r="U520">
        <v>5.23</v>
      </c>
      <c r="V520">
        <v>2.7254868000000001</v>
      </c>
      <c r="W520">
        <v>6.8825320000000003</v>
      </c>
      <c r="X520">
        <v>92.944599999999994</v>
      </c>
      <c r="Y520">
        <v>16.3</v>
      </c>
      <c r="AJ520">
        <v>-0.9692533016204834</v>
      </c>
      <c r="AK520">
        <v>-0.98078703880310059</v>
      </c>
      <c r="AL520">
        <v>0.1469752</v>
      </c>
      <c r="AM520">
        <f>VLOOKUP(D520,[1]Sheet1!$C$1:$D$191,2,FALSE)</f>
        <v>66</v>
      </c>
    </row>
    <row r="521" spans="1:39" x14ac:dyDescent="0.35">
      <c r="A521">
        <v>2018</v>
      </c>
      <c r="B521" t="s">
        <v>69</v>
      </c>
      <c r="C521">
        <v>66</v>
      </c>
      <c r="D521" t="s">
        <v>269</v>
      </c>
      <c r="E521">
        <v>114456.05865000001</v>
      </c>
      <c r="F521">
        <v>734725</v>
      </c>
      <c r="G521">
        <v>849181.05865000002</v>
      </c>
      <c r="H521">
        <v>3292571599.13518</v>
      </c>
      <c r="I521">
        <v>3422754800</v>
      </c>
      <c r="J521">
        <v>1.1575751220735153E-2</v>
      </c>
      <c r="K521">
        <v>665.87543963713699</v>
      </c>
      <c r="L521">
        <v>-8.0229016758445199E-3</v>
      </c>
      <c r="M521">
        <v>671.26089983535496</v>
      </c>
      <c r="N521">
        <v>23.563514895374201</v>
      </c>
      <c r="P521">
        <v>16.976407905188498</v>
      </c>
      <c r="R521">
        <v>4944726</v>
      </c>
      <c r="S521">
        <v>1.9757162670076357E-2</v>
      </c>
      <c r="U521">
        <v>5.35</v>
      </c>
      <c r="V521">
        <v>3.3836499</v>
      </c>
      <c r="W521">
        <v>7.3950760000000004</v>
      </c>
      <c r="X521">
        <v>86.249979999999994</v>
      </c>
      <c r="Y521">
        <v>17.277699999999999</v>
      </c>
      <c r="AJ521">
        <v>-1.0016404390335081</v>
      </c>
      <c r="AK521">
        <v>-0.98960602283477783</v>
      </c>
      <c r="AL521">
        <v>0.17836764999999999</v>
      </c>
      <c r="AM521">
        <f>VLOOKUP(D521,[1]Sheet1!$C$1:$D$191,2,FALSE)</f>
        <v>66</v>
      </c>
    </row>
    <row r="522" spans="1:39" x14ac:dyDescent="0.35">
      <c r="A522">
        <v>2019</v>
      </c>
      <c r="B522" t="s">
        <v>69</v>
      </c>
      <c r="C522">
        <v>66</v>
      </c>
      <c r="D522" t="s">
        <v>269</v>
      </c>
      <c r="E522">
        <v>31693.74705378</v>
      </c>
      <c r="F522">
        <v>1108000</v>
      </c>
      <c r="G522">
        <v>1139693.7470537799</v>
      </c>
      <c r="H522">
        <v>3211334057.9282799</v>
      </c>
      <c r="I522">
        <v>3319596500</v>
      </c>
      <c r="J522">
        <v>-2.467297635326679E-2</v>
      </c>
      <c r="K522">
        <v>636.69938482486896</v>
      </c>
      <c r="L522">
        <v>-4.3816084924482683E-2</v>
      </c>
      <c r="M522">
        <v>665.87543963713699</v>
      </c>
      <c r="N522">
        <v>26.966276019787799</v>
      </c>
      <c r="P522">
        <v>14.3078715677321</v>
      </c>
      <c r="R522">
        <v>5043721</v>
      </c>
      <c r="S522">
        <v>2.0020320640617904E-2</v>
      </c>
      <c r="U522">
        <v>5.45</v>
      </c>
      <c r="V522">
        <v>3.657807</v>
      </c>
      <c r="W522">
        <v>6.9317299999999999</v>
      </c>
      <c r="X522">
        <v>74.21996</v>
      </c>
      <c r="Y522">
        <v>18.3141</v>
      </c>
      <c r="AJ522">
        <v>-1.004605889320374</v>
      </c>
      <c r="AK522">
        <v>-1.008153438568115</v>
      </c>
      <c r="AL522">
        <v>8.5454500000000003E-2</v>
      </c>
      <c r="AM522">
        <f>VLOOKUP(D522,[1]Sheet1!$C$1:$D$191,2,FALSE)</f>
        <v>66</v>
      </c>
    </row>
    <row r="523" spans="1:39" x14ac:dyDescent="0.35">
      <c r="A523">
        <v>2020</v>
      </c>
      <c r="B523" t="s">
        <v>69</v>
      </c>
      <c r="C523">
        <v>66</v>
      </c>
      <c r="D523" t="s">
        <v>269</v>
      </c>
      <c r="E523">
        <v>64623.67</v>
      </c>
      <c r="F523">
        <v>985075</v>
      </c>
      <c r="G523">
        <v>1049698.67</v>
      </c>
      <c r="H523">
        <v>3115556299.79146</v>
      </c>
      <c r="I523">
        <v>3176126300</v>
      </c>
      <c r="J523">
        <v>-2.9824912764948756E-2</v>
      </c>
      <c r="K523">
        <v>605.025475431411</v>
      </c>
      <c r="L523">
        <v>-4.97470394166789E-2</v>
      </c>
      <c r="M523">
        <v>636.69938482486896</v>
      </c>
      <c r="N523">
        <v>16.9557241496255</v>
      </c>
      <c r="P523">
        <v>13.418605423168</v>
      </c>
      <c r="R523">
        <v>5149463</v>
      </c>
      <c r="S523">
        <v>2.0965077172190927E-2</v>
      </c>
      <c r="U523">
        <v>5.32</v>
      </c>
      <c r="V523">
        <v>3.6474796999999999</v>
      </c>
      <c r="W523">
        <v>7.3008990000000002</v>
      </c>
      <c r="X523">
        <v>80.351659999999995</v>
      </c>
      <c r="Y523">
        <v>19.412600000000001</v>
      </c>
      <c r="AJ523">
        <v>-1.0347945690155029</v>
      </c>
      <c r="AK523">
        <v>-1.038943886756897</v>
      </c>
      <c r="AL523">
        <v>0.106224025</v>
      </c>
      <c r="AM523">
        <f>VLOOKUP(D523,[1]Sheet1!$C$1:$D$191,2,FALSE)</f>
        <v>66</v>
      </c>
    </row>
    <row r="524" spans="1:39" x14ac:dyDescent="0.35">
      <c r="A524">
        <v>2013</v>
      </c>
      <c r="B524" t="s">
        <v>70</v>
      </c>
      <c r="C524">
        <v>67</v>
      </c>
      <c r="D524" t="s">
        <v>270</v>
      </c>
      <c r="E524">
        <v>31524.315829585801</v>
      </c>
      <c r="G524">
        <v>31524.315829585801</v>
      </c>
      <c r="H524">
        <v>10624353147.158701</v>
      </c>
      <c r="I524">
        <v>12423555455.3853</v>
      </c>
      <c r="J524">
        <v>2.3003762280079665E-2</v>
      </c>
      <c r="K524">
        <v>440.67465890362803</v>
      </c>
      <c r="L524">
        <v>-4.4434180242159879E-3</v>
      </c>
      <c r="M524">
        <v>442.64150012354298</v>
      </c>
      <c r="N524">
        <v>5.8264294445197997</v>
      </c>
      <c r="O524">
        <v>56.367581790093197</v>
      </c>
      <c r="P524">
        <v>11.0832879408739</v>
      </c>
      <c r="Q524">
        <v>9.4041964441659704</v>
      </c>
      <c r="R524">
        <v>24109290</v>
      </c>
      <c r="S524">
        <v>2.7569683934806775E-2</v>
      </c>
      <c r="U524">
        <v>4.32</v>
      </c>
      <c r="V524">
        <v>1.8003910999999999</v>
      </c>
      <c r="W524">
        <v>6.3713600000000001</v>
      </c>
      <c r="X524">
        <v>93.293940000000006</v>
      </c>
      <c r="Y524">
        <v>3</v>
      </c>
      <c r="Z524">
        <v>4.1867200532139996</v>
      </c>
      <c r="AJ524">
        <v>-0.92076551914215088</v>
      </c>
      <c r="AK524">
        <v>-0.65914011001586914</v>
      </c>
      <c r="AL524">
        <v>0.112462225</v>
      </c>
      <c r="AM524">
        <f>VLOOKUP(D524,[1]Sheet1!$C$1:$D$191,2,FALSE)</f>
        <v>67</v>
      </c>
    </row>
    <row r="525" spans="1:39" x14ac:dyDescent="0.35">
      <c r="A525">
        <v>2014</v>
      </c>
      <c r="B525" t="s">
        <v>70</v>
      </c>
      <c r="C525">
        <v>67</v>
      </c>
      <c r="D525" t="s">
        <v>270</v>
      </c>
      <c r="E525">
        <v>331170.29657467169</v>
      </c>
      <c r="G525">
        <v>331170.29657467169</v>
      </c>
      <c r="H525">
        <v>10979121878.0735</v>
      </c>
      <c r="I525">
        <v>12522957399.2281</v>
      </c>
      <c r="J525">
        <v>3.3392031119529895E-2</v>
      </c>
      <c r="K525">
        <v>443.34386990820502</v>
      </c>
      <c r="L525">
        <v>6.0571011984619895E-3</v>
      </c>
      <c r="M525">
        <v>440.67465890362803</v>
      </c>
      <c r="N525">
        <v>6.0804081108830204</v>
      </c>
      <c r="O525">
        <v>61.969432211123397</v>
      </c>
      <c r="P525">
        <v>11.667758860147501</v>
      </c>
      <c r="Q525">
        <v>9.8527423814287598</v>
      </c>
      <c r="R525">
        <v>24764348</v>
      </c>
      <c r="S525">
        <v>2.7170356323226442E-2</v>
      </c>
      <c r="U525">
        <v>4.42</v>
      </c>
      <c r="V525">
        <v>2.0473317999999998</v>
      </c>
      <c r="W525">
        <v>6.5852380000000004</v>
      </c>
      <c r="X525">
        <v>92.918559999999999</v>
      </c>
      <c r="Y525">
        <v>3.7</v>
      </c>
      <c r="Z525">
        <v>4.6853314408228401</v>
      </c>
      <c r="AJ525">
        <v>-0.73694729804992676</v>
      </c>
      <c r="AK525">
        <v>-0.71676498651504517</v>
      </c>
      <c r="AL525">
        <v>0.13359517500000001</v>
      </c>
      <c r="AM525">
        <f>VLOOKUP(D525,[1]Sheet1!$C$1:$D$191,2,FALSE)</f>
        <v>67</v>
      </c>
    </row>
    <row r="526" spans="1:39" x14ac:dyDescent="0.35">
      <c r="A526">
        <v>2015</v>
      </c>
      <c r="B526" t="s">
        <v>70</v>
      </c>
      <c r="C526">
        <v>67</v>
      </c>
      <c r="D526" t="s">
        <v>270</v>
      </c>
      <c r="E526">
        <v>684972.53267009603</v>
      </c>
      <c r="F526">
        <v>313800</v>
      </c>
      <c r="G526">
        <v>998772.53267009603</v>
      </c>
      <c r="H526">
        <v>11323020701.301701</v>
      </c>
      <c r="I526">
        <v>11323020701.301701</v>
      </c>
      <c r="J526">
        <v>3.1322980749034605E-2</v>
      </c>
      <c r="K526">
        <v>445.32006948056801</v>
      </c>
      <c r="L526">
        <v>4.4574870805638104E-3</v>
      </c>
      <c r="M526">
        <v>443.34386990820502</v>
      </c>
      <c r="N526">
        <v>7.4041917420212897</v>
      </c>
      <c r="O526">
        <v>61.220378836507798</v>
      </c>
      <c r="P526">
        <v>12.310592390058799</v>
      </c>
      <c r="Q526">
        <v>9.5586888697537304</v>
      </c>
      <c r="R526">
        <v>25426702</v>
      </c>
      <c r="S526">
        <v>2.6746272504327592E-2</v>
      </c>
      <c r="T526">
        <v>89.778999999999996</v>
      </c>
      <c r="U526">
        <v>4.8499999999999996</v>
      </c>
      <c r="V526">
        <v>2.2839461000000001</v>
      </c>
      <c r="W526">
        <v>7.3679480000000002</v>
      </c>
      <c r="X526">
        <v>72.699700000000007</v>
      </c>
      <c r="Y526">
        <v>4.1739699999999997</v>
      </c>
      <c r="Z526">
        <v>4.6590465223784499</v>
      </c>
      <c r="AJ526">
        <v>-0.70509457588195801</v>
      </c>
      <c r="AK526">
        <v>-0.80933833122253418</v>
      </c>
      <c r="AL526">
        <v>6.3354325000000003E-2</v>
      </c>
      <c r="AM526">
        <f>VLOOKUP(D526,[1]Sheet1!$C$1:$D$191,2,FALSE)</f>
        <v>67</v>
      </c>
    </row>
    <row r="527" spans="1:39" x14ac:dyDescent="0.35">
      <c r="A527">
        <v>2016</v>
      </c>
      <c r="B527" t="s">
        <v>70</v>
      </c>
      <c r="C527">
        <v>67</v>
      </c>
      <c r="D527" t="s">
        <v>270</v>
      </c>
      <c r="E527">
        <v>76538.487603190093</v>
      </c>
      <c r="F527">
        <v>608750</v>
      </c>
      <c r="G527">
        <v>685288.48760319012</v>
      </c>
      <c r="H527">
        <v>11775165456.534599</v>
      </c>
      <c r="I527">
        <v>11848613858.441999</v>
      </c>
      <c r="J527">
        <v>3.9931460619949226E-2</v>
      </c>
      <c r="K527">
        <v>451.15659433145998</v>
      </c>
      <c r="L527">
        <v>1.3106359337677816E-2</v>
      </c>
      <c r="M527">
        <v>445.32006948056801</v>
      </c>
      <c r="N527">
        <v>6.0357585815467898</v>
      </c>
      <c r="O527">
        <v>60.834698483142297</v>
      </c>
      <c r="P527">
        <v>11.887814025657599</v>
      </c>
      <c r="Q527">
        <v>9.3172644388576096</v>
      </c>
      <c r="R527">
        <v>26099952</v>
      </c>
      <c r="S527">
        <v>2.6478070179923451E-2</v>
      </c>
      <c r="U527">
        <v>5.07</v>
      </c>
      <c r="V527">
        <v>2.5522890999999999</v>
      </c>
      <c r="W527">
        <v>7.9747159999999999</v>
      </c>
      <c r="X527">
        <v>73.01361</v>
      </c>
      <c r="Y527">
        <v>4.71366</v>
      </c>
      <c r="Z527">
        <v>4.6583858057242997</v>
      </c>
      <c r="AJ527">
        <v>-0.83199918270111084</v>
      </c>
      <c r="AK527">
        <v>-0.73510372638702393</v>
      </c>
      <c r="AL527">
        <v>6.2842725000000002E-2</v>
      </c>
      <c r="AM527">
        <f>VLOOKUP(D527,[1]Sheet1!$C$1:$D$191,2,FALSE)</f>
        <v>67</v>
      </c>
    </row>
    <row r="528" spans="1:39" x14ac:dyDescent="0.35">
      <c r="A528">
        <v>2017</v>
      </c>
      <c r="B528" t="s">
        <v>70</v>
      </c>
      <c r="C528">
        <v>67</v>
      </c>
      <c r="D528" t="s">
        <v>270</v>
      </c>
      <c r="E528">
        <v>71967</v>
      </c>
      <c r="F528">
        <v>614200</v>
      </c>
      <c r="G528">
        <v>686167</v>
      </c>
      <c r="H528">
        <v>12238318933.716499</v>
      </c>
      <c r="I528">
        <v>13176313593.5509</v>
      </c>
      <c r="J528">
        <v>3.9333075946281007E-2</v>
      </c>
      <c r="K528">
        <v>456.85185957403098</v>
      </c>
      <c r="L528">
        <v>1.2623699429707872E-2</v>
      </c>
      <c r="M528">
        <v>451.15659433145998</v>
      </c>
      <c r="N528">
        <v>8.6090507542294894</v>
      </c>
      <c r="O528">
        <v>65.343401507291503</v>
      </c>
      <c r="P528">
        <v>12.706122619846999</v>
      </c>
      <c r="Q528">
        <v>10.5891148272501</v>
      </c>
      <c r="R528">
        <v>26788375</v>
      </c>
      <c r="S528">
        <v>2.6376408661594474E-2</v>
      </c>
      <c r="U528">
        <v>5.1100000000000003</v>
      </c>
      <c r="V528">
        <v>2.7958720000000001</v>
      </c>
      <c r="W528">
        <v>8.2040550000000003</v>
      </c>
      <c r="X528">
        <v>72.708730000000003</v>
      </c>
      <c r="Y528">
        <v>6.4</v>
      </c>
      <c r="Z528">
        <v>5.0752505806979702</v>
      </c>
      <c r="AJ528">
        <v>-0.87574160099029541</v>
      </c>
      <c r="AK528">
        <v>-0.73641276359558105</v>
      </c>
      <c r="AL528">
        <v>9.1919100000000004E-2</v>
      </c>
      <c r="AM528">
        <f>VLOOKUP(D528,[1]Sheet1!$C$1:$D$191,2,FALSE)</f>
        <v>67</v>
      </c>
    </row>
    <row r="529" spans="1:39" x14ac:dyDescent="0.35">
      <c r="A529">
        <v>2018</v>
      </c>
      <c r="B529" t="s">
        <v>70</v>
      </c>
      <c r="C529">
        <v>67</v>
      </c>
      <c r="D529" t="s">
        <v>270</v>
      </c>
      <c r="E529">
        <v>30080.53</v>
      </c>
      <c r="F529">
        <v>831900</v>
      </c>
      <c r="G529">
        <v>861980.53</v>
      </c>
      <c r="H529">
        <v>12629254472.2012</v>
      </c>
      <c r="I529">
        <v>13760033282.2925</v>
      </c>
      <c r="J529">
        <v>3.1943565174435515E-2</v>
      </c>
      <c r="K529">
        <v>459.33036779954301</v>
      </c>
      <c r="L529">
        <v>5.425190187083824E-3</v>
      </c>
      <c r="M529">
        <v>456.85185957403098</v>
      </c>
      <c r="N529">
        <v>8.5942295887047599</v>
      </c>
      <c r="O529">
        <v>67.841504668358198</v>
      </c>
      <c r="P529">
        <v>12.966876898901299</v>
      </c>
      <c r="Q529">
        <v>9.83236458371751</v>
      </c>
      <c r="R529">
        <v>27494926</v>
      </c>
      <c r="S529">
        <v>2.6375284055117191E-2</v>
      </c>
      <c r="U529">
        <v>5.22</v>
      </c>
      <c r="V529">
        <v>2.9393047999999999</v>
      </c>
      <c r="W529">
        <v>8.5067769999999996</v>
      </c>
      <c r="X529">
        <v>72.038439999999994</v>
      </c>
      <c r="Y529">
        <v>7.7477999999999998</v>
      </c>
      <c r="Z529">
        <v>5.1187784920079098</v>
      </c>
      <c r="AJ529">
        <v>-0.83635604381561279</v>
      </c>
      <c r="AK529">
        <v>-0.78589469194412231</v>
      </c>
      <c r="AL529">
        <v>5.1040599999999998E-2</v>
      </c>
      <c r="AM529">
        <f>VLOOKUP(D529,[1]Sheet1!$C$1:$D$191,2,FALSE)</f>
        <v>67</v>
      </c>
    </row>
    <row r="530" spans="1:39" x14ac:dyDescent="0.35">
      <c r="A530">
        <v>2019</v>
      </c>
      <c r="B530" t="s">
        <v>70</v>
      </c>
      <c r="C530">
        <v>67</v>
      </c>
      <c r="D530" t="s">
        <v>270</v>
      </c>
      <c r="E530">
        <v>41663.321503699997</v>
      </c>
      <c r="F530">
        <v>923550</v>
      </c>
      <c r="G530">
        <v>965213.32150369999</v>
      </c>
      <c r="H530">
        <v>13186360203.144199</v>
      </c>
      <c r="I530">
        <v>14104664678.5063</v>
      </c>
      <c r="J530">
        <v>4.4112321290957317E-2</v>
      </c>
      <c r="K530">
        <v>467.27741349647999</v>
      </c>
      <c r="L530">
        <v>1.7301372288986483E-2</v>
      </c>
      <c r="M530">
        <v>459.33036779954301</v>
      </c>
      <c r="N530">
        <v>5.6105144149236503</v>
      </c>
      <c r="O530">
        <v>62.601323045712803</v>
      </c>
      <c r="P530">
        <v>14.2116915537463</v>
      </c>
      <c r="Q530">
        <v>10.1328730758179</v>
      </c>
      <c r="R530">
        <v>28219554</v>
      </c>
      <c r="S530">
        <v>2.6354971822801051E-2</v>
      </c>
      <c r="U530">
        <v>5.64</v>
      </c>
      <c r="V530">
        <v>3.0591974999999998</v>
      </c>
      <c r="W530">
        <v>8.0313309999999998</v>
      </c>
      <c r="X530">
        <v>74.195920000000001</v>
      </c>
      <c r="Y530">
        <v>9.3794400000000007</v>
      </c>
      <c r="Z530">
        <v>5.2858600616455096</v>
      </c>
      <c r="AJ530">
        <v>-1.013498783111572</v>
      </c>
      <c r="AK530">
        <v>-0.78888916969299316</v>
      </c>
      <c r="AL530">
        <v>4.7862074999999997E-2</v>
      </c>
      <c r="AM530">
        <f>VLOOKUP(D530,[1]Sheet1!$C$1:$D$191,2,FALSE)</f>
        <v>67</v>
      </c>
    </row>
    <row r="531" spans="1:39" x14ac:dyDescent="0.35">
      <c r="A531">
        <v>2020</v>
      </c>
      <c r="B531" t="s">
        <v>70</v>
      </c>
      <c r="C531">
        <v>67</v>
      </c>
      <c r="D531" t="s">
        <v>270</v>
      </c>
      <c r="E531">
        <v>22602.718439429998</v>
      </c>
      <c r="F531">
        <v>1124375</v>
      </c>
      <c r="G531">
        <v>1146977.71843943</v>
      </c>
      <c r="H531">
        <v>12245161113.128401</v>
      </c>
      <c r="I531">
        <v>13051441203.947399</v>
      </c>
      <c r="J531">
        <v>-7.1376716206446103E-2</v>
      </c>
      <c r="K531">
        <v>422.92425542231899</v>
      </c>
      <c r="L531">
        <v>-9.4918257962183991E-2</v>
      </c>
      <c r="M531">
        <v>467.27741349647999</v>
      </c>
      <c r="N531">
        <v>4.2017931219055704</v>
      </c>
      <c r="O531">
        <v>49.010707366437103</v>
      </c>
      <c r="P531">
        <v>16.415109201564199</v>
      </c>
      <c r="Q531">
        <v>11.797752215964699</v>
      </c>
      <c r="R531">
        <v>28953556</v>
      </c>
      <c r="S531">
        <v>2.6010403991501778E-2</v>
      </c>
      <c r="U531">
        <v>5.7</v>
      </c>
      <c r="V531">
        <v>3.1330407999999998</v>
      </c>
      <c r="W531">
        <v>6.6919639999999996</v>
      </c>
      <c r="X531">
        <v>81.805850000000007</v>
      </c>
      <c r="Y531">
        <v>11.354699999999999</v>
      </c>
      <c r="Z531">
        <v>5.1733611727584101</v>
      </c>
      <c r="AJ531">
        <v>-0.87963384389877319</v>
      </c>
      <c r="AK531">
        <v>-0.81157201528549194</v>
      </c>
      <c r="AL531">
        <v>0.10455455</v>
      </c>
      <c r="AM531">
        <f>VLOOKUP(D531,[1]Sheet1!$C$1:$D$191,2,FALSE)</f>
        <v>67</v>
      </c>
    </row>
    <row r="532" spans="1:39" x14ac:dyDescent="0.35">
      <c r="A532">
        <v>2013</v>
      </c>
      <c r="B532" t="s">
        <v>71</v>
      </c>
      <c r="C532">
        <v>68</v>
      </c>
      <c r="D532" t="s">
        <v>271</v>
      </c>
      <c r="E532">
        <v>54031.144243191899</v>
      </c>
      <c r="F532">
        <v>49975</v>
      </c>
      <c r="G532">
        <v>104006.1442431919</v>
      </c>
      <c r="H532">
        <v>8490733601.0321598</v>
      </c>
      <c r="I532">
        <v>8031571927.6205502</v>
      </c>
      <c r="J532">
        <v>5.4103499994984629E-2</v>
      </c>
      <c r="K532">
        <v>525.35764551657803</v>
      </c>
      <c r="L532">
        <v>2.4607636860900447E-2</v>
      </c>
      <c r="M532">
        <v>512.74031796807697</v>
      </c>
      <c r="N532">
        <v>27.283333333333399</v>
      </c>
      <c r="P532">
        <v>8.5570860844231795</v>
      </c>
      <c r="Q532">
        <v>12.992188528166</v>
      </c>
      <c r="R532">
        <v>16161816</v>
      </c>
      <c r="S532">
        <v>2.8787471489525148E-2</v>
      </c>
      <c r="T532">
        <v>74.239999999999995</v>
      </c>
      <c r="U532">
        <v>6</v>
      </c>
      <c r="V532">
        <v>4.7818626999999996</v>
      </c>
      <c r="W532">
        <v>13.88564</v>
      </c>
      <c r="X532">
        <v>89.601749999999996</v>
      </c>
      <c r="Y532">
        <v>5.05</v>
      </c>
      <c r="AJ532">
        <v>-0.16267672181129461</v>
      </c>
      <c r="AK532">
        <v>-0.67998260259628296</v>
      </c>
      <c r="AL532">
        <v>0.124440525</v>
      </c>
      <c r="AM532">
        <f>VLOOKUP(D532,[1]Sheet1!$C$1:$D$191,2,FALSE)</f>
        <v>68</v>
      </c>
    </row>
    <row r="533" spans="1:39" x14ac:dyDescent="0.35">
      <c r="A533">
        <v>2014</v>
      </c>
      <c r="B533" t="s">
        <v>71</v>
      </c>
      <c r="C533">
        <v>68</v>
      </c>
      <c r="D533" t="s">
        <v>271</v>
      </c>
      <c r="E533">
        <v>122650.9245100827</v>
      </c>
      <c r="F533">
        <v>117750</v>
      </c>
      <c r="G533">
        <v>240400.9245100827</v>
      </c>
      <c r="H533">
        <v>8968360291.0532894</v>
      </c>
      <c r="I533">
        <v>8801326169.1454697</v>
      </c>
      <c r="J533">
        <v>5.6252699997921006E-2</v>
      </c>
      <c r="K533">
        <v>539.56260191164495</v>
      </c>
      <c r="L533">
        <v>2.7038640279231776E-2</v>
      </c>
      <c r="M533">
        <v>525.35764551657803</v>
      </c>
      <c r="N533">
        <v>23.792064946968701</v>
      </c>
      <c r="P533">
        <v>7.8359858101628399</v>
      </c>
      <c r="Q533">
        <v>14.0654400013646</v>
      </c>
      <c r="R533">
        <v>16621538</v>
      </c>
      <c r="S533">
        <v>2.8444947028229996E-2</v>
      </c>
      <c r="U533">
        <v>5.66</v>
      </c>
      <c r="V533">
        <v>5.0497785999999998</v>
      </c>
      <c r="W533">
        <v>14.105</v>
      </c>
      <c r="X533">
        <v>88.335639999999998</v>
      </c>
      <c r="Y533">
        <v>5.83</v>
      </c>
      <c r="Z533">
        <v>0.82777786722116098</v>
      </c>
      <c r="AJ533">
        <v>-0.28895562887191772</v>
      </c>
      <c r="AK533">
        <v>-0.81963670253753662</v>
      </c>
      <c r="AL533">
        <v>0.16949605000000001</v>
      </c>
      <c r="AM533">
        <f>VLOOKUP(D533,[1]Sheet1!$C$1:$D$191,2,FALSE)</f>
        <v>68</v>
      </c>
    </row>
    <row r="534" spans="1:39" x14ac:dyDescent="0.35">
      <c r="A534">
        <v>2015</v>
      </c>
      <c r="B534" t="s">
        <v>71</v>
      </c>
      <c r="C534">
        <v>68</v>
      </c>
      <c r="D534" t="s">
        <v>271</v>
      </c>
      <c r="E534">
        <v>40982.124052103303</v>
      </c>
      <c r="F534">
        <v>541075</v>
      </c>
      <c r="G534">
        <v>582057.12405210326</v>
      </c>
      <c r="H534">
        <v>9219474379.31534</v>
      </c>
      <c r="I534">
        <v>9219474379.31534</v>
      </c>
      <c r="J534">
        <v>2.8000000012550624E-2</v>
      </c>
      <c r="K534">
        <v>539.60536324068596</v>
      </c>
      <c r="L534">
        <v>7.9251840082155835E-5</v>
      </c>
      <c r="M534">
        <v>539.56260191164495</v>
      </c>
      <c r="N534">
        <v>21.8673475542553</v>
      </c>
      <c r="P534">
        <v>9.1724038585018999</v>
      </c>
      <c r="Q534">
        <v>12.9082034353954</v>
      </c>
      <c r="R534">
        <v>17085587</v>
      </c>
      <c r="S534">
        <v>2.7918535577152969E-2</v>
      </c>
      <c r="U534">
        <v>5.55</v>
      </c>
      <c r="V534">
        <v>5.2092514999999997</v>
      </c>
      <c r="W534">
        <v>12.15921</v>
      </c>
      <c r="X534">
        <v>71.327520000000007</v>
      </c>
      <c r="Y534">
        <v>6</v>
      </c>
      <c r="Z534">
        <v>0.809801002249246</v>
      </c>
      <c r="AJ534">
        <v>-0.32932847738265991</v>
      </c>
      <c r="AK534">
        <v>-0.86566561460494995</v>
      </c>
      <c r="AL534">
        <v>0.10109224999999999</v>
      </c>
      <c r="AM534">
        <f>VLOOKUP(D534,[1]Sheet1!$C$1:$D$191,2,FALSE)</f>
        <v>68</v>
      </c>
    </row>
    <row r="535" spans="1:39" x14ac:dyDescent="0.35">
      <c r="A535">
        <v>2016</v>
      </c>
      <c r="B535" t="s">
        <v>71</v>
      </c>
      <c r="C535">
        <v>68</v>
      </c>
      <c r="D535" t="s">
        <v>271</v>
      </c>
      <c r="E535">
        <v>144125.08578253779</v>
      </c>
      <c r="F535">
        <v>1051178</v>
      </c>
      <c r="G535">
        <v>1195303.0857825377</v>
      </c>
      <c r="H535">
        <v>9449961238.7079296</v>
      </c>
      <c r="I535">
        <v>7909868618.4636602</v>
      </c>
      <c r="J535">
        <v>2.4999999990206172E-2</v>
      </c>
      <c r="K535">
        <v>538.22199081031602</v>
      </c>
      <c r="L535">
        <v>-2.56367435279346E-3</v>
      </c>
      <c r="M535">
        <v>539.60536324068596</v>
      </c>
      <c r="N535">
        <v>21.711113213649899</v>
      </c>
      <c r="P535">
        <v>8.0093092194190607</v>
      </c>
      <c r="Q535">
        <v>12.3291507757964</v>
      </c>
      <c r="R535">
        <v>17557739</v>
      </c>
      <c r="S535">
        <v>2.7634520253825637E-2</v>
      </c>
      <c r="U535">
        <v>5.55</v>
      </c>
      <c r="V535">
        <v>4.9488633000000002</v>
      </c>
      <c r="W535">
        <v>13.255839999999999</v>
      </c>
      <c r="X535">
        <v>73.939480000000003</v>
      </c>
      <c r="Y535">
        <v>6.3</v>
      </c>
      <c r="AJ535">
        <v>-0.39506682753562927</v>
      </c>
      <c r="AK535">
        <v>-0.88144010305404663</v>
      </c>
      <c r="AL535">
        <v>7.0782774999999992E-2</v>
      </c>
      <c r="AM535">
        <f>VLOOKUP(D535,[1]Sheet1!$C$1:$D$191,2,FALSE)</f>
        <v>68</v>
      </c>
    </row>
    <row r="536" spans="1:39" x14ac:dyDescent="0.35">
      <c r="A536">
        <v>2017</v>
      </c>
      <c r="B536" t="s">
        <v>71</v>
      </c>
      <c r="C536">
        <v>68</v>
      </c>
      <c r="D536" t="s">
        <v>271</v>
      </c>
      <c r="E536">
        <v>168846.46414</v>
      </c>
      <c r="F536">
        <v>1717439</v>
      </c>
      <c r="G536">
        <v>1886285.4641400001</v>
      </c>
      <c r="H536">
        <v>9827959688.2923698</v>
      </c>
      <c r="I536">
        <v>8943543793.5839005</v>
      </c>
      <c r="J536">
        <v>4.0000000003822561E-2</v>
      </c>
      <c r="K536">
        <v>544.795729217028</v>
      </c>
      <c r="L536">
        <v>1.2213804933564569E-2</v>
      </c>
      <c r="M536">
        <v>538.22199081031602</v>
      </c>
      <c r="N536">
        <v>11.543393918877101</v>
      </c>
      <c r="P536">
        <v>7.4783509418313399</v>
      </c>
      <c r="Q536">
        <v>13.244471828450701</v>
      </c>
      <c r="R536">
        <v>18039715</v>
      </c>
      <c r="S536">
        <v>2.7450914949812159E-2</v>
      </c>
      <c r="T536">
        <v>63.328000000000003</v>
      </c>
      <c r="U536">
        <v>5.49</v>
      </c>
      <c r="V536">
        <v>4.9680738</v>
      </c>
      <c r="W536">
        <v>11.96486</v>
      </c>
      <c r="X536">
        <v>72.827950000000001</v>
      </c>
      <c r="Y536">
        <v>7</v>
      </c>
      <c r="AJ536">
        <v>-0.394054114818573</v>
      </c>
      <c r="AK536">
        <v>-0.79025799036026001</v>
      </c>
      <c r="AL536">
        <v>3.7867600000000001E-2</v>
      </c>
      <c r="AM536">
        <f>VLOOKUP(D536,[1]Sheet1!$C$1:$D$191,2,FALSE)</f>
        <v>68</v>
      </c>
    </row>
    <row r="537" spans="1:39" x14ac:dyDescent="0.35">
      <c r="A537">
        <v>2018</v>
      </c>
      <c r="B537" t="s">
        <v>71</v>
      </c>
      <c r="C537">
        <v>68</v>
      </c>
      <c r="D537" t="s">
        <v>271</v>
      </c>
      <c r="E537">
        <v>32648.874342999999</v>
      </c>
      <c r="F537">
        <v>2246985</v>
      </c>
      <c r="G537">
        <v>2279633.8743429999</v>
      </c>
      <c r="H537">
        <v>10255826273.603399</v>
      </c>
      <c r="I537">
        <v>9879231591.5243397</v>
      </c>
      <c r="J537">
        <v>4.3535647161915887E-2</v>
      </c>
      <c r="K537">
        <v>553.52879089871499</v>
      </c>
      <c r="L537">
        <v>1.6029974563563507E-2</v>
      </c>
      <c r="M537">
        <v>544.795729217028</v>
      </c>
      <c r="N537">
        <v>12.420178108921</v>
      </c>
      <c r="P537">
        <v>6.8176486442929196</v>
      </c>
      <c r="Q537">
        <v>14.9216504111132</v>
      </c>
      <c r="R537">
        <v>18528081</v>
      </c>
      <c r="S537">
        <v>2.7071713716098064E-2</v>
      </c>
      <c r="U537">
        <v>5.49</v>
      </c>
      <c r="V537">
        <v>4.8536396999999996</v>
      </c>
      <c r="W537">
        <v>10.04128</v>
      </c>
      <c r="X537">
        <v>67.741960000000006</v>
      </c>
      <c r="Y537">
        <v>8.7982899999999997</v>
      </c>
      <c r="Z537">
        <v>1.6942403485732001</v>
      </c>
      <c r="AJ537">
        <v>-0.40536564588546747</v>
      </c>
      <c r="AK537">
        <v>-0.72306078672409058</v>
      </c>
      <c r="AL537">
        <v>5.9536724999999999E-2</v>
      </c>
      <c r="AM537">
        <f>VLOOKUP(D537,[1]Sheet1!$C$1:$D$191,2,FALSE)</f>
        <v>68</v>
      </c>
    </row>
    <row r="538" spans="1:39" x14ac:dyDescent="0.35">
      <c r="A538">
        <v>2019</v>
      </c>
      <c r="B538" t="s">
        <v>71</v>
      </c>
      <c r="C538">
        <v>68</v>
      </c>
      <c r="D538" t="s">
        <v>271</v>
      </c>
      <c r="E538">
        <v>37433.31092435</v>
      </c>
      <c r="F538">
        <v>2096653.6059999999</v>
      </c>
      <c r="G538">
        <v>2134086.91692435</v>
      </c>
      <c r="H538">
        <v>10842133933.6548</v>
      </c>
      <c r="I538">
        <v>11051865579.812099</v>
      </c>
      <c r="J538">
        <v>5.7168251919442969E-2</v>
      </c>
      <c r="K538">
        <v>569.866249368475</v>
      </c>
      <c r="L538">
        <v>2.9515101541934874E-2</v>
      </c>
      <c r="M538">
        <v>553.52879089871499</v>
      </c>
      <c r="N538">
        <v>9.3708360560566994</v>
      </c>
      <c r="P538">
        <v>7.2207416955739303</v>
      </c>
      <c r="Q538">
        <v>14.7401066853775</v>
      </c>
      <c r="R538">
        <v>19025752</v>
      </c>
      <c r="S538">
        <v>2.6860364006396562E-2</v>
      </c>
      <c r="U538">
        <v>5.5</v>
      </c>
      <c r="V538">
        <v>4.7098700999999998</v>
      </c>
      <c r="W538">
        <v>9.9613200000000006</v>
      </c>
      <c r="X538">
        <v>67.899780000000007</v>
      </c>
      <c r="Y538">
        <v>11.0586</v>
      </c>
      <c r="AJ538">
        <v>-0.34204965829849238</v>
      </c>
      <c r="AK538">
        <v>-0.7491486668586731</v>
      </c>
      <c r="AL538">
        <v>9.5664075000000001E-2</v>
      </c>
      <c r="AM538">
        <f>VLOOKUP(D538,[1]Sheet1!$C$1:$D$191,2,FALSE)</f>
        <v>68</v>
      </c>
    </row>
    <row r="539" spans="1:39" x14ac:dyDescent="0.35">
      <c r="A539">
        <v>2020</v>
      </c>
      <c r="B539" t="s">
        <v>71</v>
      </c>
      <c r="C539">
        <v>68</v>
      </c>
      <c r="D539" t="s">
        <v>271</v>
      </c>
      <c r="E539">
        <v>39917.951576949999</v>
      </c>
      <c r="F539">
        <v>1143268.1229465799</v>
      </c>
      <c r="G539">
        <v>1183186.0745235304</v>
      </c>
      <c r="H539">
        <v>10928176721.465</v>
      </c>
      <c r="I539">
        <v>11769313597.8545</v>
      </c>
      <c r="J539">
        <v>7.9359642978691167E-3</v>
      </c>
      <c r="K539">
        <v>559.44708608265796</v>
      </c>
      <c r="L539">
        <v>-1.8283524067908105E-2</v>
      </c>
      <c r="M539">
        <v>569.866249368475</v>
      </c>
      <c r="N539">
        <v>8.6255146965055207</v>
      </c>
      <c r="P539">
        <v>7.8531489380313699</v>
      </c>
      <c r="Q539">
        <v>16.493539460334599</v>
      </c>
      <c r="R539">
        <v>19533888</v>
      </c>
      <c r="S539">
        <v>2.670780108980712E-2</v>
      </c>
      <c r="T539">
        <v>69.025999999999996</v>
      </c>
      <c r="U539">
        <v>5.74</v>
      </c>
      <c r="V539">
        <v>0</v>
      </c>
      <c r="W539">
        <v>9.6064939999999996</v>
      </c>
      <c r="X539">
        <v>68.121120000000005</v>
      </c>
      <c r="Y539">
        <v>13.8995</v>
      </c>
      <c r="Z539">
        <v>2.4021738073213399</v>
      </c>
      <c r="AJ539">
        <v>-0.27748027443885798</v>
      </c>
      <c r="AK539">
        <v>-0.78504639863967896</v>
      </c>
      <c r="AL539">
        <v>9.9875000000000005E-2</v>
      </c>
      <c r="AM539">
        <f>VLOOKUP(D539,[1]Sheet1!$C$1:$D$191,2,FALSE)</f>
        <v>68</v>
      </c>
    </row>
    <row r="540" spans="1:39" x14ac:dyDescent="0.35">
      <c r="A540">
        <v>2013</v>
      </c>
      <c r="B540" t="s">
        <v>72</v>
      </c>
      <c r="C540">
        <v>69</v>
      </c>
      <c r="D540" t="s">
        <v>272</v>
      </c>
      <c r="E540">
        <v>667009</v>
      </c>
      <c r="G540">
        <v>667009</v>
      </c>
      <c r="H540">
        <v>270506469604.10101</v>
      </c>
      <c r="I540">
        <v>323276235524.41498</v>
      </c>
      <c r="J540">
        <v>4.6937225255788889E-2</v>
      </c>
      <c r="K540">
        <v>8964.8072489620299</v>
      </c>
      <c r="L540">
        <v>2.9192325989428759E-2</v>
      </c>
      <c r="M540">
        <v>8710.5267135990198</v>
      </c>
      <c r="N540">
        <v>2.10501231233612</v>
      </c>
      <c r="O540">
        <v>142.72099146487301</v>
      </c>
      <c r="P540">
        <v>119.899693910412</v>
      </c>
      <c r="Q540">
        <v>20.602120430310201</v>
      </c>
      <c r="R540">
        <v>30174265</v>
      </c>
      <c r="S540">
        <v>1.7241577514971514E-2</v>
      </c>
      <c r="T540">
        <v>68.959999999999994</v>
      </c>
      <c r="U540">
        <v>6.49</v>
      </c>
      <c r="V540">
        <v>57.282701000000003</v>
      </c>
      <c r="W540">
        <v>2.5354860000000001</v>
      </c>
      <c r="X540">
        <v>47.609769999999997</v>
      </c>
      <c r="Y540">
        <v>57.057499999999997</v>
      </c>
      <c r="Z540">
        <v>38.070097090026501</v>
      </c>
      <c r="AF540">
        <v>0</v>
      </c>
      <c r="AJ540">
        <v>0.34133756160736078</v>
      </c>
      <c r="AK540">
        <v>0.56780821084976196</v>
      </c>
      <c r="AL540">
        <v>7.0087799999999992E-2</v>
      </c>
      <c r="AM540">
        <f>VLOOKUP(D540,[1]Sheet1!$C$1:$D$191,2,FALSE)</f>
        <v>69</v>
      </c>
    </row>
    <row r="541" spans="1:39" x14ac:dyDescent="0.35">
      <c r="A541">
        <v>2014</v>
      </c>
      <c r="B541" t="s">
        <v>72</v>
      </c>
      <c r="C541">
        <v>69</v>
      </c>
      <c r="D541" t="s">
        <v>272</v>
      </c>
      <c r="E541">
        <v>1032912</v>
      </c>
      <c r="G541">
        <v>1032912</v>
      </c>
      <c r="H541">
        <v>286755041078.03003</v>
      </c>
      <c r="I541">
        <v>338066095097.25403</v>
      </c>
      <c r="J541">
        <v>6.00672194558214E-2</v>
      </c>
      <c r="K541">
        <v>9341.7305597127797</v>
      </c>
      <c r="L541">
        <v>4.2044775786383028E-2</v>
      </c>
      <c r="M541">
        <v>8964.8072489620299</v>
      </c>
      <c r="N541">
        <v>3.14299050879095</v>
      </c>
      <c r="O541">
        <v>138.312231176843</v>
      </c>
      <c r="P541">
        <v>120.578651022847</v>
      </c>
      <c r="Q541">
        <v>19.683544385024799</v>
      </c>
      <c r="R541">
        <v>30696137</v>
      </c>
      <c r="S541">
        <v>1.7295268004042519E-2</v>
      </c>
      <c r="T541">
        <v>68.989999999999995</v>
      </c>
      <c r="U541">
        <v>6.49</v>
      </c>
      <c r="V541">
        <v>56.066989</v>
      </c>
      <c r="W541">
        <v>2.4693130000000001</v>
      </c>
      <c r="X541">
        <v>49.217590000000001</v>
      </c>
      <c r="Y541">
        <v>63.665399999999998</v>
      </c>
      <c r="Z541">
        <v>38.391914202932497</v>
      </c>
      <c r="AF541">
        <v>0</v>
      </c>
      <c r="AJ541">
        <v>0.5240897536277771</v>
      </c>
      <c r="AK541">
        <v>0.79923129081726074</v>
      </c>
      <c r="AL541">
        <v>2.0244075E-2</v>
      </c>
      <c r="AM541">
        <f>VLOOKUP(D541,[1]Sheet1!$C$1:$D$191,2,FALSE)</f>
        <v>69</v>
      </c>
    </row>
    <row r="542" spans="1:39" x14ac:dyDescent="0.35">
      <c r="A542">
        <v>2015</v>
      </c>
      <c r="B542" t="s">
        <v>72</v>
      </c>
      <c r="C542">
        <v>69</v>
      </c>
      <c r="D542" t="s">
        <v>272</v>
      </c>
      <c r="E542">
        <v>3362074.38</v>
      </c>
      <c r="G542">
        <v>3362074.38</v>
      </c>
      <c r="H542">
        <v>301355266964.94702</v>
      </c>
      <c r="I542">
        <v>301355266964.94702</v>
      </c>
      <c r="J542">
        <v>5.0915324215500254E-2</v>
      </c>
      <c r="K542">
        <v>9648.6797937523006</v>
      </c>
      <c r="L542">
        <v>3.2857855627229558E-2</v>
      </c>
      <c r="M542">
        <v>9341.7305597127797</v>
      </c>
      <c r="N542">
        <v>2.1043898023835901</v>
      </c>
      <c r="O542">
        <v>131.37007244526001</v>
      </c>
      <c r="P542">
        <v>123.10362963114</v>
      </c>
      <c r="Q542">
        <v>18.291043204013601</v>
      </c>
      <c r="R542">
        <v>31232798</v>
      </c>
      <c r="S542">
        <v>1.7483014230748318E-2</v>
      </c>
      <c r="T542">
        <v>68.95</v>
      </c>
      <c r="U542">
        <v>6.43</v>
      </c>
      <c r="V542">
        <v>54.268585999999999</v>
      </c>
      <c r="W542">
        <v>1.8957599999999999</v>
      </c>
      <c r="X542">
        <v>51.503689999999999</v>
      </c>
      <c r="Y542">
        <v>71.064099999999996</v>
      </c>
      <c r="Z542">
        <v>44.289909239243002</v>
      </c>
      <c r="AF542">
        <v>0</v>
      </c>
      <c r="AJ542">
        <v>0.40250402688980103</v>
      </c>
      <c r="AK542">
        <v>0.70477509498596191</v>
      </c>
      <c r="AL542">
        <v>6.0390174999999997E-2</v>
      </c>
      <c r="AM542">
        <f>VLOOKUP(D542,[1]Sheet1!$C$1:$D$191,2,FALSE)</f>
        <v>69</v>
      </c>
    </row>
    <row r="543" spans="1:39" x14ac:dyDescent="0.35">
      <c r="A543">
        <v>2016</v>
      </c>
      <c r="B543" t="s">
        <v>72</v>
      </c>
      <c r="C543">
        <v>69</v>
      </c>
      <c r="D543" t="s">
        <v>272</v>
      </c>
      <c r="E543">
        <v>7285887.1759204697</v>
      </c>
      <c r="F543">
        <v>1000000</v>
      </c>
      <c r="G543">
        <v>8285887.1759204697</v>
      </c>
      <c r="H543">
        <v>314764917575.08801</v>
      </c>
      <c r="I543">
        <v>301256033870.33398</v>
      </c>
      <c r="J543">
        <v>4.4497813976155834E-2</v>
      </c>
      <c r="K543">
        <v>9901.4796017981207</v>
      </c>
      <c r="L543">
        <v>2.62004557566013E-2</v>
      </c>
      <c r="M543">
        <v>9648.6797937523006</v>
      </c>
      <c r="N543">
        <v>2.0905665952574202</v>
      </c>
      <c r="O543">
        <v>126.89901002569999</v>
      </c>
      <c r="P543">
        <v>121.979820601963</v>
      </c>
      <c r="Q543">
        <v>16.7638213141114</v>
      </c>
      <c r="R543">
        <v>31789685</v>
      </c>
      <c r="S543">
        <v>1.7830198882597709E-2</v>
      </c>
      <c r="T543">
        <v>69.09</v>
      </c>
      <c r="U543">
        <v>6.54</v>
      </c>
      <c r="V543">
        <v>50.613517999999999</v>
      </c>
      <c r="W543">
        <v>1.9269799999999999</v>
      </c>
      <c r="X543">
        <v>51.874009999999998</v>
      </c>
      <c r="Y543">
        <v>78.788300000000007</v>
      </c>
      <c r="Z543">
        <v>45.403465956997202</v>
      </c>
      <c r="AF543">
        <v>0</v>
      </c>
      <c r="AI543">
        <v>1</v>
      </c>
      <c r="AJ543">
        <v>0.38787788152694702</v>
      </c>
      <c r="AK543">
        <v>0.66399538516998291</v>
      </c>
      <c r="AL543">
        <v>2.6338500000000001E-2</v>
      </c>
      <c r="AM543">
        <f>VLOOKUP(D543,[1]Sheet1!$C$1:$D$191,2,FALSE)</f>
        <v>69</v>
      </c>
    </row>
    <row r="544" spans="1:39" x14ac:dyDescent="0.35">
      <c r="A544">
        <v>2017</v>
      </c>
      <c r="B544" t="s">
        <v>72</v>
      </c>
      <c r="C544">
        <v>69</v>
      </c>
      <c r="D544" t="s">
        <v>272</v>
      </c>
      <c r="E544">
        <v>10497001</v>
      </c>
      <c r="F544">
        <v>4679602</v>
      </c>
      <c r="G544">
        <v>15176603</v>
      </c>
      <c r="H544">
        <v>333061328477.26801</v>
      </c>
      <c r="I544">
        <v>319109094160.34302</v>
      </c>
      <c r="J544">
        <v>5.8127224098331529E-2</v>
      </c>
      <c r="K544">
        <v>10293.762920536201</v>
      </c>
      <c r="L544">
        <v>3.9618656454823285E-2</v>
      </c>
      <c r="M544">
        <v>9901.4796017981207</v>
      </c>
      <c r="N544">
        <v>3.8712011577423699</v>
      </c>
      <c r="O544">
        <v>133.15517337195601</v>
      </c>
      <c r="P544">
        <v>117.167568374282</v>
      </c>
      <c r="Q544">
        <v>15.825819028683499</v>
      </c>
      <c r="R544">
        <v>32355644</v>
      </c>
      <c r="S544">
        <v>1.7803227682186847E-2</v>
      </c>
      <c r="T544">
        <v>68.59</v>
      </c>
      <c r="U544">
        <v>6.54</v>
      </c>
      <c r="V544">
        <v>50.861351999999997</v>
      </c>
      <c r="W544">
        <v>2.1497519999999999</v>
      </c>
      <c r="X544">
        <v>53.501530000000002</v>
      </c>
      <c r="Y544">
        <v>80.140500000000003</v>
      </c>
      <c r="Z544">
        <v>42.293211695145999</v>
      </c>
      <c r="AF544">
        <v>0</v>
      </c>
      <c r="AI544">
        <v>1</v>
      </c>
      <c r="AJ544">
        <v>0.38821840286254877</v>
      </c>
      <c r="AK544">
        <v>0.67138850688934326</v>
      </c>
      <c r="AL544">
        <v>4.0821650000000001E-2</v>
      </c>
      <c r="AM544">
        <f>VLOOKUP(D544,[1]Sheet1!$C$1:$D$191,2,FALSE)</f>
        <v>69</v>
      </c>
    </row>
    <row r="545" spans="1:39" x14ac:dyDescent="0.35">
      <c r="A545">
        <v>2018</v>
      </c>
      <c r="B545" t="s">
        <v>72</v>
      </c>
      <c r="C545">
        <v>69</v>
      </c>
      <c r="D545" t="s">
        <v>272</v>
      </c>
      <c r="E545">
        <v>6431782.4385329997</v>
      </c>
      <c r="F545">
        <v>55211522.251400001</v>
      </c>
      <c r="G545">
        <v>61643304.689933002</v>
      </c>
      <c r="H545">
        <v>349191778300.005</v>
      </c>
      <c r="I545">
        <v>358788845712.53003</v>
      </c>
      <c r="J545">
        <v>4.8430869763488406E-2</v>
      </c>
      <c r="K545">
        <v>10610.1950240479</v>
      </c>
      <c r="L545">
        <v>3.0740177907188113E-2</v>
      </c>
      <c r="M545">
        <v>10293.762920536201</v>
      </c>
      <c r="N545">
        <v>0.88470916057123505</v>
      </c>
      <c r="O545">
        <v>130.402625502126</v>
      </c>
      <c r="P545">
        <v>120.276311883907</v>
      </c>
      <c r="Q545">
        <v>15.922057934496801</v>
      </c>
      <c r="R545">
        <v>32910967</v>
      </c>
      <c r="S545">
        <v>1.7163095254725882E-2</v>
      </c>
      <c r="T545">
        <v>68.3</v>
      </c>
      <c r="U545">
        <v>6.88</v>
      </c>
      <c r="V545">
        <v>50.244467999999998</v>
      </c>
      <c r="W545">
        <v>2.0337239999999999</v>
      </c>
      <c r="X545">
        <v>51.561869999999999</v>
      </c>
      <c r="Y545">
        <v>81.200999999999993</v>
      </c>
      <c r="Z545">
        <v>43.310027930079698</v>
      </c>
      <c r="AF545">
        <v>0</v>
      </c>
      <c r="AI545">
        <v>1</v>
      </c>
      <c r="AJ545">
        <v>0.52920615673065186</v>
      </c>
      <c r="AK545">
        <v>0.57590740919113159</v>
      </c>
      <c r="AL545">
        <v>2.0164024999999999E-2</v>
      </c>
      <c r="AM545">
        <f>VLOOKUP(D545,[1]Sheet1!$C$1:$D$191,2,FALSE)</f>
        <v>69</v>
      </c>
    </row>
    <row r="546" spans="1:39" x14ac:dyDescent="0.35">
      <c r="A546">
        <v>2019</v>
      </c>
      <c r="B546" t="s">
        <v>72</v>
      </c>
      <c r="C546">
        <v>69</v>
      </c>
      <c r="D546" t="s">
        <v>272</v>
      </c>
      <c r="E546">
        <v>8373125.2800234696</v>
      </c>
      <c r="F546">
        <v>131744394.7087163</v>
      </c>
      <c r="G546">
        <v>140117519.98873976</v>
      </c>
      <c r="H546">
        <v>364602265936.14001</v>
      </c>
      <c r="I546">
        <v>365177721021.51599</v>
      </c>
      <c r="J546">
        <v>4.4131874212958208E-2</v>
      </c>
      <c r="K546">
        <v>10902.983485585601</v>
      </c>
      <c r="L546">
        <v>2.7595012238144402E-2</v>
      </c>
      <c r="M546">
        <v>10610.1950240479</v>
      </c>
      <c r="N546">
        <v>0.66289186576432602</v>
      </c>
      <c r="O546">
        <v>123.028562027943</v>
      </c>
      <c r="P546">
        <v>120.70694629911399</v>
      </c>
      <c r="Q546">
        <v>17.357459805989599</v>
      </c>
      <c r="R546">
        <v>33440596</v>
      </c>
      <c r="S546">
        <v>1.6092781473118063E-2</v>
      </c>
      <c r="T546">
        <v>67.849999999999994</v>
      </c>
      <c r="U546">
        <v>7.16</v>
      </c>
      <c r="V546">
        <v>56.088583</v>
      </c>
      <c r="W546">
        <v>1.929691</v>
      </c>
      <c r="X546">
        <v>52.424169999999997</v>
      </c>
      <c r="Y546">
        <v>84.187100000000001</v>
      </c>
      <c r="Z546">
        <v>40.808296681394403</v>
      </c>
      <c r="AF546">
        <v>0</v>
      </c>
      <c r="AI546">
        <v>1</v>
      </c>
      <c r="AJ546">
        <v>0.4915691614151001</v>
      </c>
      <c r="AK546">
        <v>0.54757237434387207</v>
      </c>
      <c r="AL546">
        <v>1.59404E-2</v>
      </c>
      <c r="AM546">
        <f>VLOOKUP(D546,[1]Sheet1!$C$1:$D$191,2,FALSE)</f>
        <v>69</v>
      </c>
    </row>
    <row r="547" spans="1:39" x14ac:dyDescent="0.35">
      <c r="A547">
        <v>2020</v>
      </c>
      <c r="B547" t="s">
        <v>72</v>
      </c>
      <c r="C547">
        <v>69</v>
      </c>
      <c r="D547" t="s">
        <v>272</v>
      </c>
      <c r="E547">
        <v>24658807.919627909</v>
      </c>
      <c r="F547">
        <v>110077205.0836</v>
      </c>
      <c r="G547">
        <v>134736013.00322795</v>
      </c>
      <c r="H547">
        <v>344706479641.24402</v>
      </c>
      <c r="I547">
        <v>337456163961.211</v>
      </c>
      <c r="J547">
        <v>-5.4568465842669056E-2</v>
      </c>
      <c r="K547">
        <v>10171.465784276201</v>
      </c>
      <c r="L547">
        <v>-6.7093351308521218E-2</v>
      </c>
      <c r="M547">
        <v>10902.983485585601</v>
      </c>
      <c r="N547">
        <v>-1.1387021539305</v>
      </c>
      <c r="O547">
        <v>116.788182437638</v>
      </c>
      <c r="P547">
        <v>133.81699552075099</v>
      </c>
      <c r="Q547">
        <v>18.471585144526198</v>
      </c>
      <c r="R547">
        <v>33889558</v>
      </c>
      <c r="S547">
        <v>1.342565784413651E-2</v>
      </c>
      <c r="T547">
        <v>64.569999999999993</v>
      </c>
      <c r="U547">
        <v>7.19</v>
      </c>
      <c r="V547">
        <v>55.564121</v>
      </c>
      <c r="W547">
        <v>1.874789</v>
      </c>
      <c r="X547">
        <v>52.847920000000002</v>
      </c>
      <c r="Y547">
        <v>89.555000000000007</v>
      </c>
      <c r="Z547">
        <v>39.744566736763304</v>
      </c>
      <c r="AF547">
        <v>0</v>
      </c>
      <c r="AI547">
        <v>1</v>
      </c>
      <c r="AJ547">
        <v>0.57311981916427612</v>
      </c>
      <c r="AK547">
        <v>0.66661345958709717</v>
      </c>
      <c r="AL547">
        <v>3.6712475000000001E-2</v>
      </c>
      <c r="AM547">
        <f>VLOOKUP(D547,[1]Sheet1!$C$1:$D$191,2,FALSE)</f>
        <v>69</v>
      </c>
    </row>
    <row r="548" spans="1:39" x14ac:dyDescent="0.35">
      <c r="A548">
        <v>2013</v>
      </c>
      <c r="B548" t="s">
        <v>73</v>
      </c>
      <c r="C548">
        <v>70</v>
      </c>
      <c r="D548" t="s">
        <v>273</v>
      </c>
      <c r="E548">
        <v>454189.12296850787</v>
      </c>
      <c r="F548">
        <v>1776900</v>
      </c>
      <c r="G548">
        <v>2231089.1229685079</v>
      </c>
      <c r="H548">
        <v>11526373211.2665</v>
      </c>
      <c r="I548">
        <v>13242690786.0938</v>
      </c>
      <c r="J548">
        <v>2.2950682896264226E-2</v>
      </c>
      <c r="K548">
        <v>660.173389348304</v>
      </c>
      <c r="L548">
        <v>-6.4953615962070645E-3</v>
      </c>
      <c r="M548">
        <v>664.48948885529796</v>
      </c>
      <c r="N548">
        <v>-0.60673635635147105</v>
      </c>
      <c r="O548">
        <v>64.817660873075098</v>
      </c>
      <c r="P548">
        <v>20.907726063692301</v>
      </c>
      <c r="Q548">
        <v>13.253666352728199</v>
      </c>
      <c r="R548">
        <v>17459615</v>
      </c>
      <c r="S548">
        <v>2.963855764154024E-2</v>
      </c>
      <c r="T548">
        <v>78.971999999999994</v>
      </c>
      <c r="U548">
        <v>5.9</v>
      </c>
      <c r="V548">
        <v>4.0058090000000002</v>
      </c>
      <c r="W548">
        <v>4.7210780000000003</v>
      </c>
      <c r="X548">
        <v>72.766779999999997</v>
      </c>
      <c r="Y548">
        <v>3.5</v>
      </c>
      <c r="Z548">
        <v>5.9412350178915503</v>
      </c>
      <c r="AJ548">
        <v>-0.74717503786087036</v>
      </c>
      <c r="AK548">
        <v>-0.51934033632278442</v>
      </c>
      <c r="AL548">
        <v>7.7337349999999999E-2</v>
      </c>
      <c r="AM548">
        <f>VLOOKUP(D548,[1]Sheet1!$C$1:$D$191,2,FALSE)</f>
        <v>70</v>
      </c>
    </row>
    <row r="549" spans="1:39" x14ac:dyDescent="0.35">
      <c r="A549">
        <v>2014</v>
      </c>
      <c r="B549" t="s">
        <v>73</v>
      </c>
      <c r="C549">
        <v>70</v>
      </c>
      <c r="D549" t="s">
        <v>273</v>
      </c>
      <c r="E549">
        <v>35525.959850402804</v>
      </c>
      <c r="F549">
        <v>3096295</v>
      </c>
      <c r="G549">
        <v>3131820.959850403</v>
      </c>
      <c r="H549">
        <v>12342980316.1789</v>
      </c>
      <c r="I549">
        <v>14364937124.072701</v>
      </c>
      <c r="J549">
        <v>7.08468388056534E-2</v>
      </c>
      <c r="K549">
        <v>684.94991312719606</v>
      </c>
      <c r="L549">
        <v>3.7530327908779269E-2</v>
      </c>
      <c r="M549">
        <v>660.173389348304</v>
      </c>
      <c r="N549">
        <v>0.88381454713784102</v>
      </c>
      <c r="O549">
        <v>60.638707488009302</v>
      </c>
      <c r="P549">
        <v>22.069509936850999</v>
      </c>
      <c r="Q549">
        <v>12.9583593938241</v>
      </c>
      <c r="R549">
        <v>18020267</v>
      </c>
      <c r="S549">
        <v>3.2111360989345986E-2</v>
      </c>
      <c r="T549">
        <v>46.518000000000001</v>
      </c>
      <c r="U549">
        <v>5.79</v>
      </c>
      <c r="V549">
        <v>4.3016956999999998</v>
      </c>
      <c r="W549">
        <v>3.3671720000000001</v>
      </c>
      <c r="X549">
        <v>79.027910000000006</v>
      </c>
      <c r="Y549">
        <v>7</v>
      </c>
      <c r="Z549">
        <v>5.5350488267807902</v>
      </c>
      <c r="AJ549">
        <v>-0.63523393869400024</v>
      </c>
      <c r="AK549">
        <v>-0.63384145498275757</v>
      </c>
      <c r="AL549">
        <v>1.7574075000000002E-2</v>
      </c>
      <c r="AM549">
        <f>VLOOKUP(D549,[1]Sheet1!$C$1:$D$191,2,FALSE)</f>
        <v>70</v>
      </c>
    </row>
    <row r="550" spans="1:39" x14ac:dyDescent="0.35">
      <c r="A550">
        <v>2015</v>
      </c>
      <c r="B550" t="s">
        <v>73</v>
      </c>
      <c r="C550">
        <v>70</v>
      </c>
      <c r="D550" t="s">
        <v>273</v>
      </c>
      <c r="E550">
        <v>543314.44463535445</v>
      </c>
      <c r="F550">
        <v>1747700</v>
      </c>
      <c r="G550">
        <v>2291014.4446353544</v>
      </c>
      <c r="H550">
        <v>13104764378.326</v>
      </c>
      <c r="I550">
        <v>13104764378.326</v>
      </c>
      <c r="J550">
        <v>6.1718000242499869E-2</v>
      </c>
      <c r="K550">
        <v>704.82164643950603</v>
      </c>
      <c r="L550">
        <v>2.9011950993006061E-2</v>
      </c>
      <c r="M550">
        <v>684.94991312719606</v>
      </c>
      <c r="N550">
        <v>1.45069057605961</v>
      </c>
      <c r="O550">
        <v>63.639639686151597</v>
      </c>
      <c r="P550">
        <v>24.991636630288099</v>
      </c>
      <c r="Q550">
        <v>12.2766221931956</v>
      </c>
      <c r="R550">
        <v>18593022</v>
      </c>
      <c r="S550">
        <v>3.1783935276874641E-2</v>
      </c>
      <c r="T550">
        <v>55.847000000000001</v>
      </c>
      <c r="U550">
        <v>5.7</v>
      </c>
      <c r="V550">
        <v>4.4617189000000002</v>
      </c>
      <c r="W550">
        <v>3.2121230000000001</v>
      </c>
      <c r="X550">
        <v>48.91742</v>
      </c>
      <c r="Y550">
        <v>10.33</v>
      </c>
      <c r="Z550">
        <v>5.1275094117393198</v>
      </c>
      <c r="AJ550">
        <v>-0.75167179107666016</v>
      </c>
      <c r="AK550">
        <v>-0.63308614492416382</v>
      </c>
      <c r="AL550">
        <v>9.2443949999999997E-2</v>
      </c>
      <c r="AM550">
        <f>VLOOKUP(D550,[1]Sheet1!$C$1:$D$191,2,FALSE)</f>
        <v>70</v>
      </c>
    </row>
    <row r="551" spans="1:39" x14ac:dyDescent="0.35">
      <c r="A551">
        <v>2016</v>
      </c>
      <c r="B551" t="s">
        <v>73</v>
      </c>
      <c r="C551">
        <v>70</v>
      </c>
      <c r="D551" t="s">
        <v>273</v>
      </c>
      <c r="E551">
        <v>339787.43651243858</v>
      </c>
      <c r="F551">
        <v>1837700</v>
      </c>
      <c r="G551">
        <v>2177487.4365124386</v>
      </c>
      <c r="H551">
        <v>13871694399.1238</v>
      </c>
      <c r="I551">
        <v>14026048335.7047</v>
      </c>
      <c r="J551">
        <v>5.8522991994135153E-2</v>
      </c>
      <c r="K551">
        <v>722.81202159603902</v>
      </c>
      <c r="L551">
        <v>2.5524719973362912E-2</v>
      </c>
      <c r="M551">
        <v>704.82164643950603</v>
      </c>
      <c r="N551">
        <v>-1.7996470708338601</v>
      </c>
      <c r="O551">
        <v>63.763296424470198</v>
      </c>
      <c r="P551">
        <v>26.426416583057598</v>
      </c>
      <c r="Q551">
        <v>12.3148516316637</v>
      </c>
      <c r="R551">
        <v>19191289</v>
      </c>
      <c r="S551">
        <v>3.217696402446036E-2</v>
      </c>
      <c r="T551">
        <v>47.137999999999998</v>
      </c>
      <c r="U551">
        <v>5.7</v>
      </c>
      <c r="V551">
        <v>4.6967550999999998</v>
      </c>
      <c r="W551">
        <v>2.812519</v>
      </c>
      <c r="X551">
        <v>48.236969999999999</v>
      </c>
      <c r="Y551">
        <v>14</v>
      </c>
      <c r="AJ551">
        <v>-0.79918819665908813</v>
      </c>
      <c r="AK551">
        <v>-0.63912957906723022</v>
      </c>
      <c r="AL551">
        <v>0.10926355</v>
      </c>
      <c r="AM551">
        <f>VLOOKUP(D551,[1]Sheet1!$C$1:$D$191,2,FALSE)</f>
        <v>70</v>
      </c>
    </row>
    <row r="552" spans="1:39" x14ac:dyDescent="0.35">
      <c r="A552">
        <v>2017</v>
      </c>
      <c r="B552" t="s">
        <v>73</v>
      </c>
      <c r="C552">
        <v>70</v>
      </c>
      <c r="D552" t="s">
        <v>273</v>
      </c>
      <c r="E552">
        <v>53169</v>
      </c>
      <c r="F552">
        <v>1802775</v>
      </c>
      <c r="G552">
        <v>1855944</v>
      </c>
      <c r="H552">
        <v>14607651053.629</v>
      </c>
      <c r="I552">
        <v>15365713048.199301</v>
      </c>
      <c r="J552">
        <v>5.3054560843820625E-2</v>
      </c>
      <c r="K552">
        <v>737.27567473863405</v>
      </c>
      <c r="L552">
        <v>2.0010255378234976E-2</v>
      </c>
      <c r="M552">
        <v>722.81202159603902</v>
      </c>
      <c r="N552">
        <v>1.7598574292715601</v>
      </c>
      <c r="O552">
        <v>58.5874858963913</v>
      </c>
      <c r="P552">
        <v>25.948223942032001</v>
      </c>
      <c r="Q552">
        <v>12.506997989846701</v>
      </c>
      <c r="R552">
        <v>19813011</v>
      </c>
      <c r="S552">
        <v>3.239605218805261E-2</v>
      </c>
      <c r="T552">
        <v>55.284999999999997</v>
      </c>
      <c r="U552">
        <v>5.64</v>
      </c>
      <c r="V552">
        <v>4.8771535999999998</v>
      </c>
      <c r="W552">
        <v>4.3841669999999997</v>
      </c>
      <c r="X552">
        <v>47.237690000000001</v>
      </c>
      <c r="Y552">
        <v>18.899999999999999</v>
      </c>
      <c r="AJ552">
        <v>-0.79297471046447754</v>
      </c>
      <c r="AK552">
        <v>-0.61669349670410156</v>
      </c>
      <c r="AL552">
        <v>7.9189675000000001E-2</v>
      </c>
      <c r="AM552">
        <f>VLOOKUP(D552,[1]Sheet1!$C$1:$D$191,2,FALSE)</f>
        <v>70</v>
      </c>
    </row>
    <row r="553" spans="1:39" x14ac:dyDescent="0.35">
      <c r="A553">
        <v>2018</v>
      </c>
      <c r="B553" t="s">
        <v>73</v>
      </c>
      <c r="C553">
        <v>70</v>
      </c>
      <c r="D553" t="s">
        <v>273</v>
      </c>
      <c r="E553">
        <v>4344.5440129999997</v>
      </c>
      <c r="F553">
        <v>1263741</v>
      </c>
      <c r="G553">
        <v>1268085.5440130001</v>
      </c>
      <c r="H553">
        <v>15301000921.468201</v>
      </c>
      <c r="I553">
        <v>17070867589.9055</v>
      </c>
      <c r="J553">
        <v>4.7464843272454205E-2</v>
      </c>
      <c r="K553">
        <v>748.506920372791</v>
      </c>
      <c r="L553">
        <v>1.5233441192995349E-2</v>
      </c>
      <c r="M553">
        <v>737.27567473863405</v>
      </c>
      <c r="N553">
        <v>0.29954650738793398</v>
      </c>
      <c r="O553">
        <v>60.145038041010302</v>
      </c>
      <c r="P553">
        <v>25.589804685531099</v>
      </c>
      <c r="Q553">
        <v>12.3716813160241</v>
      </c>
      <c r="R553">
        <v>20442030</v>
      </c>
      <c r="S553">
        <v>3.174777422775367E-2</v>
      </c>
      <c r="T553">
        <v>50.280999999999999</v>
      </c>
      <c r="U553">
        <v>5.41</v>
      </c>
      <c r="V553">
        <v>4.7164508999999999</v>
      </c>
      <c r="W553">
        <v>4.1325089999999998</v>
      </c>
      <c r="X553">
        <v>48.341180000000001</v>
      </c>
      <c r="Y553">
        <v>21.4</v>
      </c>
      <c r="AJ553">
        <v>-0.8156123161315918</v>
      </c>
      <c r="AK553">
        <v>-0.60079580545425415</v>
      </c>
      <c r="AL553">
        <v>3.2721649999999998E-2</v>
      </c>
      <c r="AM553">
        <f>VLOOKUP(D553,[1]Sheet1!$C$1:$D$191,2,FALSE)</f>
        <v>70</v>
      </c>
    </row>
    <row r="554" spans="1:39" x14ac:dyDescent="0.35">
      <c r="A554">
        <v>2019</v>
      </c>
      <c r="B554" t="s">
        <v>73</v>
      </c>
      <c r="C554">
        <v>70</v>
      </c>
      <c r="D554" t="s">
        <v>273</v>
      </c>
      <c r="E554">
        <v>104.66384136000001</v>
      </c>
      <c r="F554">
        <v>746732.14344700007</v>
      </c>
      <c r="G554">
        <v>746836.80728836008</v>
      </c>
      <c r="H554">
        <v>16028741130.4821</v>
      </c>
      <c r="I554">
        <v>17280250810.032101</v>
      </c>
      <c r="J554">
        <v>4.7561608077079237E-2</v>
      </c>
      <c r="K554">
        <v>760.79518741367099</v>
      </c>
      <c r="L554">
        <v>1.6417038649101417E-2</v>
      </c>
      <c r="M554">
        <v>748.506920372791</v>
      </c>
      <c r="N554">
        <v>-1.6582669484636501</v>
      </c>
      <c r="O554">
        <v>63.658702766593898</v>
      </c>
      <c r="P554">
        <v>24.500359084432901</v>
      </c>
      <c r="Q554">
        <v>12.857961098410399</v>
      </c>
      <c r="R554">
        <v>21068405</v>
      </c>
      <c r="S554">
        <v>3.0641526306340417E-2</v>
      </c>
      <c r="T554">
        <v>52.643000000000001</v>
      </c>
      <c r="U554">
        <v>4.92</v>
      </c>
      <c r="V554">
        <v>5.2322385000000002</v>
      </c>
      <c r="W554">
        <v>4.3564619999999996</v>
      </c>
      <c r="X554">
        <v>50.184379999999997</v>
      </c>
      <c r="Y554">
        <v>24.9603</v>
      </c>
      <c r="AJ554">
        <v>-0.8648412823677063</v>
      </c>
      <c r="AK554">
        <v>-0.6230463981628418</v>
      </c>
      <c r="AL554">
        <v>4.7271649999999998E-2</v>
      </c>
      <c r="AM554">
        <f>VLOOKUP(D554,[1]Sheet1!$C$1:$D$191,2,FALSE)</f>
        <v>70</v>
      </c>
    </row>
    <row r="555" spans="1:39" x14ac:dyDescent="0.35">
      <c r="A555">
        <v>2020</v>
      </c>
      <c r="B555" t="s">
        <v>73</v>
      </c>
      <c r="C555">
        <v>70</v>
      </c>
      <c r="D555" t="s">
        <v>273</v>
      </c>
      <c r="E555">
        <v>136934.89378213999</v>
      </c>
      <c r="F555">
        <v>1125415.53856</v>
      </c>
      <c r="G555">
        <v>1262350.43234214</v>
      </c>
      <c r="H555">
        <v>15830713976.524799</v>
      </c>
      <c r="I555">
        <v>17465392764.370602</v>
      </c>
      <c r="J555">
        <v>-1.2354504470766513E-2</v>
      </c>
      <c r="K555">
        <v>729.06113763246503</v>
      </c>
      <c r="L555">
        <v>-4.1711685754856176E-2</v>
      </c>
      <c r="M555">
        <v>760.79518741367099</v>
      </c>
      <c r="N555">
        <v>0.43808894032066797</v>
      </c>
      <c r="O555">
        <v>66.043116469274594</v>
      </c>
      <c r="P555">
        <v>25.986728304283002</v>
      </c>
      <c r="Q555">
        <v>14.5011206196834</v>
      </c>
      <c r="R555">
        <v>21713836</v>
      </c>
      <c r="S555">
        <v>3.0635019594506561E-2</v>
      </c>
      <c r="T555">
        <v>50.94</v>
      </c>
      <c r="U555">
        <v>3.93</v>
      </c>
      <c r="V555">
        <v>4.9853402999999998</v>
      </c>
      <c r="W555">
        <v>4.0363769999999999</v>
      </c>
      <c r="X555">
        <v>72.620570000000001</v>
      </c>
      <c r="Y555">
        <v>29.113</v>
      </c>
      <c r="AJ555">
        <v>-0.94909322261810303</v>
      </c>
      <c r="AK555">
        <v>-0.67380976676940918</v>
      </c>
      <c r="AL555">
        <v>0.106891925</v>
      </c>
      <c r="AM555">
        <f>VLOOKUP(D555,[1]Sheet1!$C$1:$D$191,2,FALSE)</f>
        <v>70</v>
      </c>
    </row>
    <row r="556" spans="1:39" x14ac:dyDescent="0.35">
      <c r="A556">
        <v>2013</v>
      </c>
      <c r="B556" t="s">
        <v>74</v>
      </c>
      <c r="C556">
        <v>71</v>
      </c>
      <c r="D556" t="s">
        <v>274</v>
      </c>
      <c r="E556">
        <v>1227.4817670591899</v>
      </c>
      <c r="G556">
        <v>1227.4817670591899</v>
      </c>
      <c r="H556">
        <v>5612311839.1624098</v>
      </c>
      <c r="I556">
        <v>7223071097.0841703</v>
      </c>
      <c r="J556">
        <v>4.150813189895388E-2</v>
      </c>
      <c r="K556">
        <v>1502.90142381083</v>
      </c>
      <c r="L556">
        <v>9.3552130854445623E-3</v>
      </c>
      <c r="M556">
        <v>1488.9717755721399</v>
      </c>
      <c r="N556">
        <v>4.1291017378339303</v>
      </c>
      <c r="O556">
        <v>102.398824183169</v>
      </c>
      <c r="P556">
        <v>18.345839833704002</v>
      </c>
      <c r="R556">
        <v>3734318</v>
      </c>
      <c r="S556">
        <v>3.185490934873781E-2</v>
      </c>
      <c r="U556">
        <v>4.17</v>
      </c>
      <c r="V556">
        <v>6.5088888000000003</v>
      </c>
      <c r="W556">
        <v>4.5030320000000001</v>
      </c>
      <c r="X556">
        <v>69.394170000000003</v>
      </c>
      <c r="Y556">
        <v>6.2</v>
      </c>
      <c r="Z556">
        <v>5.79601450584933</v>
      </c>
      <c r="AJ556">
        <v>-1.008803606033325</v>
      </c>
      <c r="AK556">
        <v>-0.67119503021240234</v>
      </c>
      <c r="AL556">
        <v>7.3550000000000004E-4</v>
      </c>
      <c r="AM556">
        <f>VLOOKUP(D556,[1]Sheet1!$C$1:$D$191,2,FALSE)</f>
        <v>71</v>
      </c>
    </row>
    <row r="557" spans="1:39" x14ac:dyDescent="0.35">
      <c r="A557">
        <v>2014</v>
      </c>
      <c r="B557" t="s">
        <v>74</v>
      </c>
      <c r="C557">
        <v>71</v>
      </c>
      <c r="D557" t="s">
        <v>274</v>
      </c>
      <c r="E557">
        <v>536.24081358499905</v>
      </c>
      <c r="F557">
        <v>15000</v>
      </c>
      <c r="G557">
        <v>15536.240813584998</v>
      </c>
      <c r="H557">
        <v>5852228252.6662197</v>
      </c>
      <c r="I557">
        <v>6592537781.8151798</v>
      </c>
      <c r="J557">
        <v>4.2748232881445775E-2</v>
      </c>
      <c r="K557">
        <v>1520.6462163490201</v>
      </c>
      <c r="L557">
        <v>1.1807023572574361E-2</v>
      </c>
      <c r="M557">
        <v>1502.90142381083</v>
      </c>
      <c r="N557">
        <v>3.5343685614732401</v>
      </c>
      <c r="O557">
        <v>91.610371363604003</v>
      </c>
      <c r="P557">
        <v>19.5202997737568</v>
      </c>
      <c r="R557">
        <v>3848514</v>
      </c>
      <c r="S557">
        <v>3.0580148771475808E-2</v>
      </c>
      <c r="U557">
        <v>4.17</v>
      </c>
      <c r="V557">
        <v>7.9342036</v>
      </c>
      <c r="W557">
        <v>4.1303580000000002</v>
      </c>
      <c r="X557">
        <v>84.342640000000003</v>
      </c>
      <c r="Y557">
        <v>11.8</v>
      </c>
      <c r="AJ557">
        <v>-0.8731236457824707</v>
      </c>
      <c r="AK557">
        <v>-0.83264392614364624</v>
      </c>
      <c r="AL557">
        <v>2.6822100000000001E-2</v>
      </c>
      <c r="AM557">
        <f>VLOOKUP(D557,[1]Sheet1!$C$1:$D$191,2,FALSE)</f>
        <v>71</v>
      </c>
    </row>
    <row r="558" spans="1:39" x14ac:dyDescent="0.35">
      <c r="A558">
        <v>2015</v>
      </c>
      <c r="B558" t="s">
        <v>74</v>
      </c>
      <c r="C558">
        <v>71</v>
      </c>
      <c r="D558" t="s">
        <v>274</v>
      </c>
      <c r="E558">
        <v>179170.677528495</v>
      </c>
      <c r="G558">
        <v>179170.677528495</v>
      </c>
      <c r="H558">
        <v>6166863896.6867704</v>
      </c>
      <c r="I558">
        <v>6166863896.6867704</v>
      </c>
      <c r="J558">
        <v>5.3763392409926204E-2</v>
      </c>
      <c r="K558">
        <v>1554.94897871782</v>
      </c>
      <c r="L558">
        <v>2.255801645379342E-2</v>
      </c>
      <c r="M558">
        <v>1520.6462163490201</v>
      </c>
      <c r="N558">
        <v>3.2547268811763099</v>
      </c>
      <c r="O558">
        <v>77.346786494496598</v>
      </c>
      <c r="P558">
        <v>21.115578390201001</v>
      </c>
      <c r="R558">
        <v>3965959</v>
      </c>
      <c r="S558">
        <v>3.0516973564341979E-2</v>
      </c>
      <c r="U558">
        <v>3.96</v>
      </c>
      <c r="V558">
        <v>9.4298433999999993</v>
      </c>
      <c r="W558">
        <v>4.2279629999999999</v>
      </c>
      <c r="X558">
        <v>62.958419999999997</v>
      </c>
      <c r="Y558">
        <v>17.600000000000001</v>
      </c>
      <c r="Z558">
        <v>5.8842500127303499</v>
      </c>
      <c r="AJ558">
        <v>-0.89164817333221436</v>
      </c>
      <c r="AK558">
        <v>-0.91268014907836914</v>
      </c>
      <c r="AL558">
        <v>6.4539474999999999E-2</v>
      </c>
      <c r="AM558">
        <f>VLOOKUP(D558,[1]Sheet1!$C$1:$D$191,2,FALSE)</f>
        <v>71</v>
      </c>
    </row>
    <row r="559" spans="1:39" x14ac:dyDescent="0.35">
      <c r="A559">
        <v>2020</v>
      </c>
      <c r="B559" t="s">
        <v>74</v>
      </c>
      <c r="C559">
        <v>71</v>
      </c>
      <c r="D559" t="s">
        <v>274</v>
      </c>
      <c r="E559">
        <v>3055.7638485399998</v>
      </c>
      <c r="G559">
        <v>3055.7638485399998</v>
      </c>
      <c r="H559">
        <v>7145411800.0895996</v>
      </c>
      <c r="I559">
        <v>8260752385.2308903</v>
      </c>
      <c r="J559">
        <v>-3.6065738415102938E-3</v>
      </c>
      <c r="K559">
        <v>1553.3061558659099</v>
      </c>
      <c r="L559">
        <v>-3.228954105965634E-2</v>
      </c>
      <c r="M559">
        <v>1605.1352359742</v>
      </c>
      <c r="N559">
        <v>2.3856948845632</v>
      </c>
      <c r="O559">
        <v>86.776168132274094</v>
      </c>
      <c r="R559">
        <v>4600131</v>
      </c>
      <c r="S559">
        <v>2.9640030189976605E-2</v>
      </c>
      <c r="U559">
        <v>3.92</v>
      </c>
      <c r="V559">
        <v>11.01825</v>
      </c>
      <c r="W559">
        <v>2.5995689999999998</v>
      </c>
      <c r="X559">
        <v>82.743520000000004</v>
      </c>
      <c r="Y559">
        <v>27.426200000000001</v>
      </c>
      <c r="Z559">
        <v>5.9719433002535904</v>
      </c>
      <c r="AJ559">
        <v>-0.60392409563064575</v>
      </c>
      <c r="AK559">
        <v>-0.89447754621505737</v>
      </c>
      <c r="AL559">
        <v>8.8490949999999999E-2</v>
      </c>
      <c r="AM559">
        <f>VLOOKUP(D559,[1]Sheet1!$C$1:$D$191,2,FALSE)</f>
        <v>71</v>
      </c>
    </row>
    <row r="560" spans="1:39" x14ac:dyDescent="0.35">
      <c r="A560">
        <v>2013</v>
      </c>
      <c r="B560" t="s">
        <v>75</v>
      </c>
      <c r="C560">
        <v>72</v>
      </c>
      <c r="D560" t="s">
        <v>275</v>
      </c>
      <c r="E560">
        <v>4389.4380448700003</v>
      </c>
      <c r="G560">
        <v>4389.4380448700003</v>
      </c>
      <c r="H560">
        <v>11153101416.1964</v>
      </c>
      <c r="I560">
        <v>12292974141.4044</v>
      </c>
      <c r="J560">
        <v>3.3604060997409993E-2</v>
      </c>
      <c r="K560">
        <v>8859.2121832293997</v>
      </c>
      <c r="L560">
        <v>3.1104055543770857E-2</v>
      </c>
      <c r="M560">
        <v>8591.9671594709598</v>
      </c>
      <c r="N560">
        <v>3.5432957393483901</v>
      </c>
      <c r="O560">
        <v>113.308833075877</v>
      </c>
      <c r="P560">
        <v>104.89417231725599</v>
      </c>
      <c r="Q560">
        <v>21.585500157653101</v>
      </c>
      <c r="R560">
        <v>1258927</v>
      </c>
      <c r="S560">
        <v>2.4245908453182701E-3</v>
      </c>
      <c r="T560">
        <v>56.564999999999998</v>
      </c>
      <c r="U560">
        <v>8.17</v>
      </c>
      <c r="V560">
        <v>44.880304000000002</v>
      </c>
      <c r="W560">
        <v>3.3461669999999999</v>
      </c>
      <c r="X560">
        <v>46.030110000000001</v>
      </c>
      <c r="Y560">
        <v>40.116799999999998</v>
      </c>
      <c r="Z560">
        <v>41.402395352538598</v>
      </c>
      <c r="AF560">
        <v>0</v>
      </c>
      <c r="AJ560">
        <v>0.96641528606414795</v>
      </c>
      <c r="AK560">
        <v>0.89288491010665894</v>
      </c>
      <c r="AM560">
        <f>VLOOKUP(D560,[1]Sheet1!$C$1:$D$191,2,FALSE)</f>
        <v>72</v>
      </c>
    </row>
    <row r="561" spans="1:39" x14ac:dyDescent="0.35">
      <c r="A561">
        <v>2014</v>
      </c>
      <c r="B561" t="s">
        <v>75</v>
      </c>
      <c r="C561">
        <v>72</v>
      </c>
      <c r="D561" t="s">
        <v>275</v>
      </c>
      <c r="E561">
        <v>1051.743451283</v>
      </c>
      <c r="G561">
        <v>1051.743451283</v>
      </c>
      <c r="H561">
        <v>11579927241.398701</v>
      </c>
      <c r="I561">
        <v>13074129952.0532</v>
      </c>
      <c r="J561">
        <v>3.8269698200938951E-2</v>
      </c>
      <c r="K561">
        <v>9181.6157536256396</v>
      </c>
      <c r="L561">
        <v>3.6391900738821224E-2</v>
      </c>
      <c r="M561">
        <v>8859.2121832293997</v>
      </c>
      <c r="N561">
        <v>3.2176919199468501</v>
      </c>
      <c r="O561">
        <v>110.589707531641</v>
      </c>
      <c r="P561">
        <v>96.725864755676696</v>
      </c>
      <c r="Q561">
        <v>21.8258977747027</v>
      </c>
      <c r="R561">
        <v>1261208</v>
      </c>
      <c r="S561">
        <v>1.8118604176413724E-3</v>
      </c>
      <c r="T561">
        <v>56.133000000000003</v>
      </c>
      <c r="U561">
        <v>8.17</v>
      </c>
      <c r="V561">
        <v>45.044643999999998</v>
      </c>
      <c r="W561">
        <v>2.8399190000000001</v>
      </c>
      <c r="X561">
        <v>45.535139999999998</v>
      </c>
      <c r="Y561">
        <v>44.8033</v>
      </c>
      <c r="Z561">
        <v>40.038200423569499</v>
      </c>
      <c r="AF561">
        <v>0</v>
      </c>
      <c r="AJ561">
        <v>0.9488491415977478</v>
      </c>
      <c r="AK561">
        <v>1.1969466209411621</v>
      </c>
      <c r="AM561">
        <f>VLOOKUP(D561,[1]Sheet1!$C$1:$D$191,2,FALSE)</f>
        <v>72</v>
      </c>
    </row>
    <row r="562" spans="1:39" x14ac:dyDescent="0.35">
      <c r="A562">
        <v>2015</v>
      </c>
      <c r="B562" t="s">
        <v>75</v>
      </c>
      <c r="C562">
        <v>72</v>
      </c>
      <c r="D562" t="s">
        <v>275</v>
      </c>
      <c r="E562">
        <v>146426.43578955301</v>
      </c>
      <c r="G562">
        <v>146426.43578955298</v>
      </c>
      <c r="H562">
        <v>12007291045.648899</v>
      </c>
      <c r="I562">
        <v>12007291045.648899</v>
      </c>
      <c r="J562">
        <v>3.6905569036941421E-2</v>
      </c>
      <c r="K562">
        <v>9507.8713365642398</v>
      </c>
      <c r="L562">
        <v>3.5533569656274085E-2</v>
      </c>
      <c r="M562">
        <v>9181.6157536256396</v>
      </c>
      <c r="N562">
        <v>1.2865497076024</v>
      </c>
      <c r="O562">
        <v>107.145979436304</v>
      </c>
      <c r="P562">
        <v>100.020733649424</v>
      </c>
      <c r="Q562">
        <v>11.391268981507899</v>
      </c>
      <c r="R562">
        <v>1262879</v>
      </c>
      <c r="S562">
        <v>1.3249202352030752E-3</v>
      </c>
      <c r="T562">
        <v>56.332000000000001</v>
      </c>
      <c r="U562">
        <v>8.2799999999999994</v>
      </c>
      <c r="V562">
        <v>45.594974999999998</v>
      </c>
      <c r="W562">
        <v>2.288154</v>
      </c>
      <c r="X562">
        <v>46.683839999999996</v>
      </c>
      <c r="Y562">
        <v>50.139299999999999</v>
      </c>
      <c r="Z562">
        <v>37.760738643162</v>
      </c>
      <c r="AF562">
        <v>0</v>
      </c>
      <c r="AJ562">
        <v>0.84355252981185913</v>
      </c>
      <c r="AK562">
        <v>1.1366909742355349</v>
      </c>
      <c r="AM562">
        <f>VLOOKUP(D562,[1]Sheet1!$C$1:$D$191,2,FALSE)</f>
        <v>72</v>
      </c>
    </row>
    <row r="563" spans="1:39" x14ac:dyDescent="0.35">
      <c r="A563">
        <v>2016</v>
      </c>
      <c r="B563" t="s">
        <v>75</v>
      </c>
      <c r="C563">
        <v>72</v>
      </c>
      <c r="D563" t="s">
        <v>275</v>
      </c>
      <c r="E563">
        <v>23415.3573269425</v>
      </c>
      <c r="G563">
        <v>23415.3573269425</v>
      </c>
      <c r="H563">
        <v>12471068851.5812</v>
      </c>
      <c r="I563">
        <v>12594155464.413601</v>
      </c>
      <c r="J563">
        <v>3.8624682634003482E-2</v>
      </c>
      <c r="K563">
        <v>9868.3271664195199</v>
      </c>
      <c r="L563">
        <v>3.7911307073443666E-2</v>
      </c>
      <c r="M563">
        <v>9507.8713365642398</v>
      </c>
      <c r="N563">
        <v>0.97767513471896506</v>
      </c>
      <c r="O563">
        <v>101.366114114651</v>
      </c>
      <c r="P563">
        <v>93.504793776485002</v>
      </c>
      <c r="Q563">
        <v>23.067123452928801</v>
      </c>
      <c r="R563">
        <v>1263747</v>
      </c>
      <c r="S563">
        <v>6.8731842084633599E-4</v>
      </c>
      <c r="T563">
        <v>54.031999999999996</v>
      </c>
      <c r="U563">
        <v>8.2799999999999994</v>
      </c>
      <c r="V563">
        <v>44.502783999999998</v>
      </c>
      <c r="W563">
        <v>2.447819</v>
      </c>
      <c r="X563">
        <v>47.881869999999999</v>
      </c>
      <c r="Y563">
        <v>52.191299999999998</v>
      </c>
      <c r="Z563">
        <v>38.410769261726102</v>
      </c>
      <c r="AF563">
        <v>0</v>
      </c>
      <c r="AJ563">
        <v>0.68806219100952148</v>
      </c>
      <c r="AK563">
        <v>1.094851136207581</v>
      </c>
      <c r="AM563">
        <f>VLOOKUP(D563,[1]Sheet1!$C$1:$D$191,2,FALSE)</f>
        <v>72</v>
      </c>
    </row>
    <row r="564" spans="1:39" x14ac:dyDescent="0.35">
      <c r="A564">
        <v>2017</v>
      </c>
      <c r="B564" t="s">
        <v>75</v>
      </c>
      <c r="C564">
        <v>72</v>
      </c>
      <c r="D564" t="s">
        <v>275</v>
      </c>
      <c r="E564">
        <v>9968.6818700000003</v>
      </c>
      <c r="G564">
        <v>9968.6818700000003</v>
      </c>
      <c r="H564">
        <v>12962177523.4319</v>
      </c>
      <c r="I564">
        <v>13713506130.608101</v>
      </c>
      <c r="J564">
        <v>3.9379838063233287E-2</v>
      </c>
      <c r="K564">
        <v>10247.6960577758</v>
      </c>
      <c r="L564">
        <v>3.8443080063986647E-2</v>
      </c>
      <c r="M564">
        <v>9868.3271664195199</v>
      </c>
      <c r="N564">
        <v>3.6669970267591601</v>
      </c>
      <c r="O564">
        <v>101.25026170481399</v>
      </c>
      <c r="P564">
        <v>98.983708615018998</v>
      </c>
      <c r="Q564">
        <v>22.221776173336298</v>
      </c>
      <c r="R564">
        <v>1264887</v>
      </c>
      <c r="S564">
        <v>9.0207929276983449E-4</v>
      </c>
      <c r="T564">
        <v>54.151000000000003</v>
      </c>
      <c r="U564">
        <v>8.2200000000000006</v>
      </c>
      <c r="V564">
        <v>43.488241000000002</v>
      </c>
      <c r="W564">
        <v>2.6129159999999998</v>
      </c>
      <c r="X564">
        <v>52.761240000000001</v>
      </c>
      <c r="Y564">
        <v>55.403199999999998</v>
      </c>
      <c r="Z564">
        <v>39.661878656090202</v>
      </c>
      <c r="AF564">
        <v>0</v>
      </c>
      <c r="AJ564">
        <v>0.67006748914718628</v>
      </c>
      <c r="AK564">
        <v>1.0501013994216919</v>
      </c>
      <c r="AM564">
        <f>VLOOKUP(D564,[1]Sheet1!$C$1:$D$191,2,FALSE)</f>
        <v>72</v>
      </c>
    </row>
    <row r="565" spans="1:39" x14ac:dyDescent="0.35">
      <c r="A565">
        <v>2018</v>
      </c>
      <c r="B565" t="s">
        <v>75</v>
      </c>
      <c r="C565">
        <v>72</v>
      </c>
      <c r="D565" t="s">
        <v>275</v>
      </c>
      <c r="E565">
        <v>15212.545974000001</v>
      </c>
      <c r="F565">
        <v>1262809.68</v>
      </c>
      <c r="G565">
        <v>1278022.2259740001</v>
      </c>
      <c r="H565">
        <v>13481538349.275999</v>
      </c>
      <c r="I565">
        <v>14735695930.9727</v>
      </c>
      <c r="J565">
        <v>4.0067405719852518E-2</v>
      </c>
      <c r="K565">
        <v>10652.483688685899</v>
      </c>
      <c r="L565">
        <v>3.950035487273771E-2</v>
      </c>
      <c r="M565">
        <v>10247.6960577758</v>
      </c>
      <c r="N565">
        <v>3.21605383144579</v>
      </c>
      <c r="O565">
        <v>98.087179805098302</v>
      </c>
      <c r="P565">
        <v>75.312283173247494</v>
      </c>
      <c r="Q565">
        <v>22.576161313636501</v>
      </c>
      <c r="R565">
        <v>1265577</v>
      </c>
      <c r="S565">
        <v>5.4550327420552192E-4</v>
      </c>
      <c r="T565">
        <v>53.469000000000001</v>
      </c>
      <c r="U565">
        <v>8.2200000000000006</v>
      </c>
      <c r="V565">
        <v>43.166477</v>
      </c>
      <c r="W565">
        <v>2.7867980000000001</v>
      </c>
      <c r="X565">
        <v>52.005760000000002</v>
      </c>
      <c r="Y565">
        <v>58.596200000000003</v>
      </c>
      <c r="Z565">
        <v>40.407809826196299</v>
      </c>
      <c r="AF565">
        <v>0</v>
      </c>
      <c r="AI565">
        <v>1</v>
      </c>
      <c r="AJ565">
        <v>0.71027112007141113</v>
      </c>
      <c r="AK565">
        <v>1.043949246406555</v>
      </c>
      <c r="AM565">
        <f>VLOOKUP(D565,[1]Sheet1!$C$1:$D$191,2,FALSE)</f>
        <v>72</v>
      </c>
    </row>
    <row r="566" spans="1:39" x14ac:dyDescent="0.35">
      <c r="A566">
        <v>2019</v>
      </c>
      <c r="B566" t="s">
        <v>75</v>
      </c>
      <c r="C566">
        <v>72</v>
      </c>
      <c r="D566" t="s">
        <v>275</v>
      </c>
      <c r="E566">
        <v>28863.858156689999</v>
      </c>
      <c r="F566">
        <v>511105.67062500003</v>
      </c>
      <c r="G566">
        <v>539969.52878169005</v>
      </c>
      <c r="H566">
        <v>13871328044.4569</v>
      </c>
      <c r="I566">
        <v>14436346979.6355</v>
      </c>
      <c r="J566">
        <v>2.8912849934654046E-2</v>
      </c>
      <c r="K566">
        <v>10956.945022616301</v>
      </c>
      <c r="L566">
        <v>2.8581253238976805E-2</v>
      </c>
      <c r="M566">
        <v>10652.483688685899</v>
      </c>
      <c r="N566">
        <v>0.40565519030955299</v>
      </c>
      <c r="O566">
        <v>96.4919509166035</v>
      </c>
      <c r="P566">
        <v>78.082758504955606</v>
      </c>
      <c r="Q566">
        <v>22.842004161290198</v>
      </c>
      <c r="R566">
        <v>1265985</v>
      </c>
      <c r="S566">
        <v>3.2238259702886511E-4</v>
      </c>
      <c r="T566">
        <v>52.426000000000002</v>
      </c>
      <c r="U566">
        <v>8.2200000000000006</v>
      </c>
      <c r="V566">
        <v>42.778584000000002</v>
      </c>
      <c r="W566">
        <v>2.8393030000000001</v>
      </c>
      <c r="X566">
        <v>55.098840000000003</v>
      </c>
      <c r="Y566">
        <v>61.73</v>
      </c>
      <c r="Z566">
        <v>42.9878710798151</v>
      </c>
      <c r="AF566">
        <v>0</v>
      </c>
      <c r="AI566">
        <v>1</v>
      </c>
      <c r="AJ566">
        <v>0.69304436445236206</v>
      </c>
      <c r="AK566">
        <v>1.0162702798843379</v>
      </c>
      <c r="AM566">
        <f>VLOOKUP(D566,[1]Sheet1!$C$1:$D$191,2,FALSE)</f>
        <v>72</v>
      </c>
    </row>
    <row r="567" spans="1:39" x14ac:dyDescent="0.35">
      <c r="A567">
        <v>2020</v>
      </c>
      <c r="B567" t="s">
        <v>75</v>
      </c>
      <c r="C567">
        <v>72</v>
      </c>
      <c r="D567" t="s">
        <v>275</v>
      </c>
      <c r="E567">
        <v>8961.6120476899996</v>
      </c>
      <c r="F567">
        <v>1274471</v>
      </c>
      <c r="G567">
        <v>1283432.61204769</v>
      </c>
      <c r="H567">
        <v>11853530018.6947</v>
      </c>
      <c r="I567">
        <v>11408106446.3144</v>
      </c>
      <c r="J567">
        <v>-0.14546538149016874</v>
      </c>
      <c r="K567">
        <v>9362.8743589681708</v>
      </c>
      <c r="L567">
        <v>-0.14548495592136299</v>
      </c>
      <c r="M567">
        <v>10956.945022616301</v>
      </c>
      <c r="N567">
        <v>2.5808007718282999</v>
      </c>
      <c r="O567">
        <v>85.830544874508206</v>
      </c>
      <c r="P567">
        <v>91.8145868000327</v>
      </c>
      <c r="Q567">
        <v>31.687186067582399</v>
      </c>
      <c r="R567">
        <v>1266014</v>
      </c>
      <c r="S567">
        <v>2.2907064459689491E-5</v>
      </c>
      <c r="T567">
        <v>63.658000000000001</v>
      </c>
      <c r="U567">
        <v>8.14</v>
      </c>
      <c r="V567">
        <v>42.058731999999999</v>
      </c>
      <c r="W567">
        <v>2.3307500000000001</v>
      </c>
      <c r="X567">
        <v>55.771990000000002</v>
      </c>
      <c r="Y567">
        <v>67.732900000000001</v>
      </c>
      <c r="Z567">
        <v>42.5378418595105</v>
      </c>
      <c r="AF567">
        <v>0</v>
      </c>
      <c r="AI567">
        <v>1</v>
      </c>
      <c r="AJ567">
        <v>0.88686352968215942</v>
      </c>
      <c r="AK567">
        <v>1.181130647659302</v>
      </c>
      <c r="AM567">
        <f>VLOOKUP(D567,[1]Sheet1!$C$1:$D$191,2,FALSE)</f>
        <v>72</v>
      </c>
    </row>
    <row r="568" spans="1:39" x14ac:dyDescent="0.35">
      <c r="A568">
        <v>2013</v>
      </c>
      <c r="B568" t="s">
        <v>76</v>
      </c>
      <c r="C568">
        <v>73</v>
      </c>
      <c r="D568" t="s">
        <v>276</v>
      </c>
      <c r="E568">
        <v>592417</v>
      </c>
      <c r="F568">
        <v>782500</v>
      </c>
      <c r="G568">
        <v>1374917</v>
      </c>
      <c r="H568">
        <v>1152513808584.6201</v>
      </c>
      <c r="I568">
        <v>1327436290282.6699</v>
      </c>
      <c r="J568">
        <v>8.5210155941123633E-3</v>
      </c>
      <c r="K568">
        <v>9738.7105980365795</v>
      </c>
      <c r="L568">
        <v>-4.4781073827855076E-3</v>
      </c>
      <c r="M568">
        <v>9782.51776305354</v>
      </c>
      <c r="N568">
        <v>3.8063906974720401</v>
      </c>
      <c r="O568">
        <v>62.691674773580701</v>
      </c>
      <c r="P568">
        <v>27.859059328804001</v>
      </c>
      <c r="Q568">
        <v>20.6909750853576</v>
      </c>
      <c r="R568">
        <v>118343573</v>
      </c>
      <c r="S568">
        <v>1.3057596295262465E-2</v>
      </c>
      <c r="T568">
        <v>58.401000000000003</v>
      </c>
      <c r="U568">
        <v>6.91</v>
      </c>
      <c r="V568">
        <v>48.709220000000002</v>
      </c>
      <c r="W568">
        <v>3.1295809999999999</v>
      </c>
      <c r="X568">
        <v>37.344059999999999</v>
      </c>
      <c r="Y568">
        <v>43.46</v>
      </c>
      <c r="Z568">
        <v>30.3301601409912</v>
      </c>
      <c r="AF568">
        <v>0</v>
      </c>
      <c r="AJ568">
        <v>-0.54941642284393311</v>
      </c>
      <c r="AK568">
        <v>0.41815519332885742</v>
      </c>
      <c r="AL568">
        <v>7.1048975E-2</v>
      </c>
      <c r="AM568">
        <f>VLOOKUP(D568,[1]Sheet1!$C$1:$D$191,2,FALSE)</f>
        <v>73</v>
      </c>
    </row>
    <row r="569" spans="1:39" x14ac:dyDescent="0.35">
      <c r="A569">
        <v>2014</v>
      </c>
      <c r="B569" t="s">
        <v>76</v>
      </c>
      <c r="C569">
        <v>73</v>
      </c>
      <c r="D569" t="s">
        <v>276</v>
      </c>
      <c r="E569">
        <v>1721565</v>
      </c>
      <c r="F569">
        <v>2796625</v>
      </c>
      <c r="G569">
        <v>4518190</v>
      </c>
      <c r="H569">
        <v>1181370028689.6899</v>
      </c>
      <c r="I569">
        <v>1364507717614.1299</v>
      </c>
      <c r="J569">
        <v>2.5037635028865805E-2</v>
      </c>
      <c r="K569">
        <v>9862.4812544419892</v>
      </c>
      <c r="L569">
        <v>1.2709142053195736E-2</v>
      </c>
      <c r="M569">
        <v>9738.7105980365795</v>
      </c>
      <c r="N569">
        <v>4.0186160807867903</v>
      </c>
      <c r="O569">
        <v>64.098409035121506</v>
      </c>
      <c r="P569">
        <v>28.1836821076474</v>
      </c>
      <c r="Q569">
        <v>20.997176364331601</v>
      </c>
      <c r="R569">
        <v>119784261</v>
      </c>
      <c r="S569">
        <v>1.2173774743137087E-2</v>
      </c>
      <c r="T569">
        <v>57.749000000000002</v>
      </c>
      <c r="U569">
        <v>6.68</v>
      </c>
      <c r="V569">
        <v>50.451250000000002</v>
      </c>
      <c r="W569">
        <v>3.431508</v>
      </c>
      <c r="X569">
        <v>37.812150000000003</v>
      </c>
      <c r="Y569">
        <v>44.3857</v>
      </c>
      <c r="Z569">
        <v>31.2052898406982</v>
      </c>
      <c r="AF569">
        <v>0</v>
      </c>
      <c r="AJ569">
        <v>-0.40668800473213201</v>
      </c>
      <c r="AK569">
        <v>0.3594382107257843</v>
      </c>
      <c r="AL569">
        <v>4.7367474999999999E-2</v>
      </c>
      <c r="AM569">
        <f>VLOOKUP(D569,[1]Sheet1!$C$1:$D$191,2,FALSE)</f>
        <v>73</v>
      </c>
    </row>
    <row r="570" spans="1:39" x14ac:dyDescent="0.35">
      <c r="A570">
        <v>2015</v>
      </c>
      <c r="B570" t="s">
        <v>76</v>
      </c>
      <c r="C570">
        <v>73</v>
      </c>
      <c r="D570" t="s">
        <v>276</v>
      </c>
      <c r="E570">
        <v>3968426</v>
      </c>
      <c r="F570">
        <v>9214625</v>
      </c>
      <c r="G570">
        <v>13183051</v>
      </c>
      <c r="H570">
        <v>1213294467716.8799</v>
      </c>
      <c r="I570">
        <v>1213294467716.8799</v>
      </c>
      <c r="J570">
        <v>2.7023234255061267E-2</v>
      </c>
      <c r="K570">
        <v>10021.2386118827</v>
      </c>
      <c r="L570">
        <v>1.6097101058540158E-2</v>
      </c>
      <c r="M570">
        <v>9862.4812544419892</v>
      </c>
      <c r="N570">
        <v>2.72064064964023</v>
      </c>
      <c r="O570">
        <v>70.412974676264</v>
      </c>
      <c r="P570">
        <v>30.830497867409701</v>
      </c>
      <c r="Q570">
        <v>20.868951151725401</v>
      </c>
      <c r="R570">
        <v>121072306</v>
      </c>
      <c r="S570">
        <v>1.0753040418223225E-2</v>
      </c>
      <c r="T570">
        <v>57.923000000000002</v>
      </c>
      <c r="U570">
        <v>6.55</v>
      </c>
      <c r="V570">
        <v>52.899959000000003</v>
      </c>
      <c r="W570">
        <v>4.8302360000000002</v>
      </c>
      <c r="X570">
        <v>52.238779999999998</v>
      </c>
      <c r="Y570">
        <v>57.430999999999997</v>
      </c>
      <c r="Z570">
        <v>31.971860885620099</v>
      </c>
      <c r="AF570">
        <v>0</v>
      </c>
      <c r="AJ570">
        <v>-0.45476585626602167</v>
      </c>
      <c r="AK570">
        <v>0.27632501721382141</v>
      </c>
      <c r="AL570">
        <v>5.8622500000000001E-2</v>
      </c>
      <c r="AM570">
        <f>VLOOKUP(D570,[1]Sheet1!$C$1:$D$191,2,FALSE)</f>
        <v>73</v>
      </c>
    </row>
    <row r="571" spans="1:39" x14ac:dyDescent="0.35">
      <c r="A571">
        <v>2016</v>
      </c>
      <c r="B571" t="s">
        <v>76</v>
      </c>
      <c r="C571">
        <v>73</v>
      </c>
      <c r="D571" t="s">
        <v>276</v>
      </c>
      <c r="E571">
        <v>8252157.8674677201</v>
      </c>
      <c r="F571">
        <v>105934173</v>
      </c>
      <c r="G571">
        <v>114186330.86746772</v>
      </c>
      <c r="H571">
        <v>1234800030119.7</v>
      </c>
      <c r="I571">
        <v>1112233497452.7</v>
      </c>
      <c r="J571">
        <v>1.7724932384541585E-2</v>
      </c>
      <c r="K571">
        <v>10100.5021214015</v>
      </c>
      <c r="L571">
        <v>7.9095521610285709E-3</v>
      </c>
      <c r="M571">
        <v>10021.2386118827</v>
      </c>
      <c r="N571">
        <v>2.8217078474766</v>
      </c>
      <c r="O571">
        <v>75.690303408855101</v>
      </c>
      <c r="P571">
        <v>32.9508423866166</v>
      </c>
      <c r="Q571">
        <v>20.328199416259601</v>
      </c>
      <c r="R571">
        <v>122251351</v>
      </c>
      <c r="S571">
        <v>9.7383542029834628E-3</v>
      </c>
      <c r="T571">
        <v>57.360999999999997</v>
      </c>
      <c r="U571">
        <v>6.47</v>
      </c>
      <c r="V571">
        <v>54.591183000000001</v>
      </c>
      <c r="W571">
        <v>4.9377420000000001</v>
      </c>
      <c r="X571">
        <v>51.276029999999999</v>
      </c>
      <c r="Y571">
        <v>59.540399999999998</v>
      </c>
      <c r="Z571">
        <v>38.589771270752003</v>
      </c>
      <c r="AF571">
        <v>0</v>
      </c>
      <c r="AJ571">
        <v>-0.57980066537857056</v>
      </c>
      <c r="AK571">
        <v>0.19901344180107119</v>
      </c>
      <c r="AL571">
        <v>6.4446249999999997E-2</v>
      </c>
      <c r="AM571">
        <f>VLOOKUP(D571,[1]Sheet1!$C$1:$D$191,2,FALSE)</f>
        <v>73</v>
      </c>
    </row>
    <row r="572" spans="1:39" x14ac:dyDescent="0.35">
      <c r="A572">
        <v>2017</v>
      </c>
      <c r="B572" t="s">
        <v>76</v>
      </c>
      <c r="C572">
        <v>73</v>
      </c>
      <c r="D572" t="s">
        <v>276</v>
      </c>
      <c r="E572">
        <v>41317807.746950001</v>
      </c>
      <c r="F572">
        <v>112438609.40767001</v>
      </c>
      <c r="G572">
        <v>153756417.15461999</v>
      </c>
      <c r="H572">
        <v>1257912134612.3</v>
      </c>
      <c r="I572">
        <v>1190721475906</v>
      </c>
      <c r="J572">
        <v>1.8717285332718724E-2</v>
      </c>
      <c r="K572">
        <v>10193.772719345699</v>
      </c>
      <c r="L572">
        <v>9.2342535869155418E-3</v>
      </c>
      <c r="M572">
        <v>10100.5021214015</v>
      </c>
      <c r="N572">
        <v>6.0414572401898603</v>
      </c>
      <c r="O572">
        <v>76.952126040725403</v>
      </c>
      <c r="P572">
        <v>34.3431256723362</v>
      </c>
      <c r="Q572">
        <v>19.866492092819701</v>
      </c>
      <c r="R572">
        <v>123400057</v>
      </c>
      <c r="S572">
        <v>9.3962642588710527E-3</v>
      </c>
      <c r="T572">
        <v>57.033999999999999</v>
      </c>
      <c r="U572">
        <v>6.41</v>
      </c>
      <c r="V572">
        <v>55.619981000000003</v>
      </c>
      <c r="W572">
        <v>5.9204910000000002</v>
      </c>
      <c r="X572">
        <v>49.267049999999998</v>
      </c>
      <c r="Y572">
        <v>53.031799999999997</v>
      </c>
      <c r="Z572">
        <v>40.339069366455099</v>
      </c>
      <c r="AF572">
        <v>0</v>
      </c>
      <c r="AJ572">
        <v>-0.5846487283706665</v>
      </c>
      <c r="AK572">
        <v>0.18206879496574399</v>
      </c>
      <c r="AL572">
        <v>0.158793925</v>
      </c>
      <c r="AM572">
        <f>VLOOKUP(D572,[1]Sheet1!$C$1:$D$191,2,FALSE)</f>
        <v>73</v>
      </c>
    </row>
    <row r="573" spans="1:39" x14ac:dyDescent="0.35">
      <c r="A573">
        <v>2018</v>
      </c>
      <c r="B573" t="s">
        <v>76</v>
      </c>
      <c r="C573">
        <v>73</v>
      </c>
      <c r="D573" t="s">
        <v>276</v>
      </c>
      <c r="E573">
        <v>26986243.294543792</v>
      </c>
      <c r="F573">
        <v>185248840.01303801</v>
      </c>
      <c r="G573">
        <v>213796793.30758178</v>
      </c>
      <c r="H573">
        <v>1282719194684.0601</v>
      </c>
      <c r="I573">
        <v>1256300182879.73</v>
      </c>
      <c r="J573">
        <v>1.9720821024916634E-2</v>
      </c>
      <c r="K573">
        <v>10296.8690937052</v>
      </c>
      <c r="L573">
        <v>1.011366225223409E-2</v>
      </c>
      <c r="M573">
        <v>10193.772719345699</v>
      </c>
      <c r="N573">
        <v>4.8993501535655097</v>
      </c>
      <c r="O573">
        <v>80.212661656897495</v>
      </c>
      <c r="P573">
        <v>33.615217813764097</v>
      </c>
      <c r="Q573">
        <v>19.869709709883502</v>
      </c>
      <c r="R573">
        <v>124573711</v>
      </c>
      <c r="S573">
        <v>9.5109680540909312E-3</v>
      </c>
      <c r="T573">
        <v>57</v>
      </c>
      <c r="U573">
        <v>6.19</v>
      </c>
      <c r="V573">
        <v>58.820554000000001</v>
      </c>
      <c r="W573">
        <v>6.0491140000000003</v>
      </c>
      <c r="X573">
        <v>49.260280000000002</v>
      </c>
      <c r="Y573">
        <v>56.659599999999998</v>
      </c>
      <c r="Z573">
        <v>41.638278961181598</v>
      </c>
      <c r="AF573">
        <v>0</v>
      </c>
      <c r="AJ573">
        <v>-0.64122152328491211</v>
      </c>
      <c r="AK573">
        <v>8.4375463426113129E-2</v>
      </c>
      <c r="AL573">
        <v>0.20692869999999999</v>
      </c>
      <c r="AM573">
        <f>VLOOKUP(D573,[1]Sheet1!$C$1:$D$191,2,FALSE)</f>
        <v>73</v>
      </c>
    </row>
    <row r="574" spans="1:39" x14ac:dyDescent="0.35">
      <c r="A574">
        <v>2019</v>
      </c>
      <c r="B574" t="s">
        <v>76</v>
      </c>
      <c r="C574">
        <v>73</v>
      </c>
      <c r="D574" t="s">
        <v>276</v>
      </c>
      <c r="E574">
        <v>24023167.39468313</v>
      </c>
      <c r="F574">
        <v>524914631.39050227</v>
      </c>
      <c r="G574">
        <v>548937798.78518546</v>
      </c>
      <c r="H574">
        <v>1277682077988.0601</v>
      </c>
      <c r="I574">
        <v>1304106203694.8101</v>
      </c>
      <c r="J574">
        <v>-3.9269052157909481E-3</v>
      </c>
      <c r="K574">
        <v>10159.4448355881</v>
      </c>
      <c r="L574">
        <v>-1.3346217851901406E-2</v>
      </c>
      <c r="M574">
        <v>10296.8690937052</v>
      </c>
      <c r="N574">
        <v>3.6359614212704598</v>
      </c>
      <c r="O574">
        <v>77.461972269446605</v>
      </c>
      <c r="P574">
        <v>35.585186492759298</v>
      </c>
      <c r="Q574">
        <v>19.810335354307998</v>
      </c>
      <c r="R574">
        <v>125762982</v>
      </c>
      <c r="S574">
        <v>9.5467253118918481E-3</v>
      </c>
      <c r="T574">
        <v>57.637999999999998</v>
      </c>
      <c r="U574">
        <v>6.09</v>
      </c>
      <c r="V574">
        <v>61.537824000000001</v>
      </c>
      <c r="W574">
        <v>6.2873559999999999</v>
      </c>
      <c r="X574">
        <v>48.941699999999997</v>
      </c>
      <c r="Y574">
        <v>69.632099999999994</v>
      </c>
      <c r="Z574">
        <v>43.044139862060497</v>
      </c>
      <c r="AF574">
        <v>0</v>
      </c>
      <c r="AI574">
        <v>1</v>
      </c>
      <c r="AJ574">
        <v>-0.65791845321655273</v>
      </c>
      <c r="AK574">
        <v>1.2595196254551411E-2</v>
      </c>
      <c r="AL574">
        <v>0.21101175</v>
      </c>
      <c r="AM574">
        <f>VLOOKUP(D574,[1]Sheet1!$C$1:$D$191,2,FALSE)</f>
        <v>73</v>
      </c>
    </row>
    <row r="575" spans="1:39" x14ac:dyDescent="0.35">
      <c r="A575">
        <v>2020</v>
      </c>
      <c r="B575" t="s">
        <v>76</v>
      </c>
      <c r="C575">
        <v>73</v>
      </c>
      <c r="D575" t="s">
        <v>276</v>
      </c>
      <c r="E575">
        <v>20615148.08467979</v>
      </c>
      <c r="F575">
        <v>516219558.70749241</v>
      </c>
      <c r="G575">
        <v>536834706.79217225</v>
      </c>
      <c r="H575">
        <v>1170944075658.48</v>
      </c>
      <c r="I575">
        <v>1121064767261.8799</v>
      </c>
      <c r="J575">
        <v>-8.3540345574587879E-2</v>
      </c>
      <c r="K575">
        <v>9234.6436248529408</v>
      </c>
      <c r="L575">
        <v>-9.1028715220306117E-2</v>
      </c>
      <c r="M575">
        <v>10159.4448355881</v>
      </c>
      <c r="N575">
        <v>3.3968341557000601</v>
      </c>
      <c r="O575">
        <v>76.854555708792304</v>
      </c>
      <c r="P575">
        <v>36.932589762410899</v>
      </c>
      <c r="Q575">
        <v>21.698070424797201</v>
      </c>
      <c r="R575">
        <v>126799054</v>
      </c>
      <c r="S575">
        <v>8.2382906601244556E-3</v>
      </c>
      <c r="T575">
        <v>52.414999999999999</v>
      </c>
      <c r="U575">
        <v>6.07</v>
      </c>
      <c r="V575">
        <v>62.134870999999997</v>
      </c>
      <c r="W575">
        <v>6.080476</v>
      </c>
      <c r="X575">
        <v>50.685580000000002</v>
      </c>
      <c r="Y575">
        <v>71.490200000000002</v>
      </c>
      <c r="Z575">
        <v>45.165451049804702</v>
      </c>
      <c r="AF575">
        <v>0</v>
      </c>
      <c r="AI575">
        <v>1</v>
      </c>
      <c r="AJ575">
        <v>-0.64218217134475708</v>
      </c>
      <c r="AK575">
        <v>-1.2910044752061371E-2</v>
      </c>
      <c r="AL575">
        <v>0.14315277500000001</v>
      </c>
      <c r="AM575">
        <f>VLOOKUP(D575,[1]Sheet1!$C$1:$D$191,2,FALSE)</f>
        <v>73</v>
      </c>
    </row>
    <row r="576" spans="1:39" x14ac:dyDescent="0.35">
      <c r="A576">
        <v>2013</v>
      </c>
      <c r="B576" t="s">
        <v>77</v>
      </c>
      <c r="C576">
        <v>74</v>
      </c>
      <c r="D576" t="s">
        <v>277</v>
      </c>
      <c r="E576">
        <v>4346</v>
      </c>
      <c r="F576">
        <v>1657075</v>
      </c>
      <c r="G576">
        <v>1661421</v>
      </c>
      <c r="H576">
        <v>10520241544.9149</v>
      </c>
      <c r="I576">
        <v>12582122604.2577</v>
      </c>
      <c r="J576">
        <v>0.11648916187892935</v>
      </c>
      <c r="K576">
        <v>3628.9070806957502</v>
      </c>
      <c r="L576">
        <v>9.3648784165840132E-2</v>
      </c>
      <c r="M576">
        <v>3318.1649659708901</v>
      </c>
      <c r="N576">
        <v>10.490656758824199</v>
      </c>
      <c r="O576">
        <v>100.31198966294301</v>
      </c>
      <c r="P576">
        <v>59.874857925990298</v>
      </c>
      <c r="Q576">
        <v>23.668819594913401</v>
      </c>
      <c r="R576">
        <v>2899011</v>
      </c>
      <c r="S576">
        <v>2.0884563713484322E-2</v>
      </c>
      <c r="T576">
        <v>52.893000000000001</v>
      </c>
      <c r="U576">
        <v>6.51</v>
      </c>
      <c r="V576">
        <v>49.686521999999997</v>
      </c>
      <c r="W576">
        <v>3.9070800000000001</v>
      </c>
      <c r="X576">
        <v>100</v>
      </c>
      <c r="Y576">
        <v>17.7</v>
      </c>
      <c r="Z576">
        <v>64.817169189453097</v>
      </c>
      <c r="AJ576">
        <v>-0.36220037937164312</v>
      </c>
      <c r="AK576">
        <v>-0.3326164186000824</v>
      </c>
      <c r="AL576">
        <v>8.8269175000000005E-2</v>
      </c>
      <c r="AM576">
        <f>VLOOKUP(D576,[1]Sheet1!$C$1:$D$191,2,FALSE)</f>
        <v>74</v>
      </c>
    </row>
    <row r="577" spans="1:39" x14ac:dyDescent="0.35">
      <c r="A577">
        <v>2014</v>
      </c>
      <c r="B577" t="s">
        <v>77</v>
      </c>
      <c r="C577">
        <v>74</v>
      </c>
      <c r="D577" t="s">
        <v>277</v>
      </c>
      <c r="E577">
        <v>7861</v>
      </c>
      <c r="F577">
        <v>1782624</v>
      </c>
      <c r="G577">
        <v>1790485</v>
      </c>
      <c r="H577">
        <v>11349786311.987499</v>
      </c>
      <c r="I577">
        <v>12226514668.062201</v>
      </c>
      <c r="J577">
        <v>7.88522548204771E-2</v>
      </c>
      <c r="K577">
        <v>3830.3589204959299</v>
      </c>
      <c r="L577">
        <v>5.551308846451819E-2</v>
      </c>
      <c r="M577">
        <v>3628.9070806957502</v>
      </c>
      <c r="N577">
        <v>12.253980812976</v>
      </c>
      <c r="O577">
        <v>109.322311877187</v>
      </c>
      <c r="P577">
        <v>59.294318712560198</v>
      </c>
      <c r="Q577">
        <v>23.733223661495401</v>
      </c>
      <c r="R577">
        <v>2963113</v>
      </c>
      <c r="S577">
        <v>2.2111678775968771E-2</v>
      </c>
      <c r="T577">
        <v>49.893000000000001</v>
      </c>
      <c r="U577">
        <v>6.62</v>
      </c>
      <c r="V577">
        <v>58.36101</v>
      </c>
      <c r="W577">
        <v>3.7438980000000002</v>
      </c>
      <c r="X577">
        <v>100</v>
      </c>
      <c r="Y577">
        <v>19.942399999999999</v>
      </c>
      <c r="Z577">
        <v>66.679229736328097</v>
      </c>
      <c r="AJ577">
        <v>-0.33098939061164862</v>
      </c>
      <c r="AK577">
        <v>-0.27761569619178772</v>
      </c>
      <c r="AL577">
        <v>4.0686899999999998E-2</v>
      </c>
      <c r="AM577">
        <f>VLOOKUP(D577,[1]Sheet1!$C$1:$D$191,2,FALSE)</f>
        <v>74</v>
      </c>
    </row>
    <row r="578" spans="1:39" x14ac:dyDescent="0.35">
      <c r="A578">
        <v>2015</v>
      </c>
      <c r="B578" t="s">
        <v>77</v>
      </c>
      <c r="C578">
        <v>74</v>
      </c>
      <c r="D578" t="s">
        <v>277</v>
      </c>
      <c r="E578">
        <v>23425.33</v>
      </c>
      <c r="F578">
        <v>374725</v>
      </c>
      <c r="G578">
        <v>398150.33</v>
      </c>
      <c r="H578">
        <v>11619892590.694099</v>
      </c>
      <c r="I578">
        <v>11619892590.694099</v>
      </c>
      <c r="J578">
        <v>2.3798358073166312E-2</v>
      </c>
      <c r="K578">
        <v>3838.9212698998399</v>
      </c>
      <c r="L578">
        <v>2.2353908815421013E-3</v>
      </c>
      <c r="M578">
        <v>3830.3589204959299</v>
      </c>
      <c r="N578">
        <v>5.7356828193832001</v>
      </c>
      <c r="O578">
        <v>89.653663477814007</v>
      </c>
      <c r="P578">
        <v>54.460420703213401</v>
      </c>
      <c r="Q578">
        <v>24.313084296183</v>
      </c>
      <c r="R578">
        <v>3026864</v>
      </c>
      <c r="S578">
        <v>2.1514873040616406E-2</v>
      </c>
      <c r="T578">
        <v>49.244999999999997</v>
      </c>
      <c r="U578">
        <v>6.62</v>
      </c>
      <c r="V578">
        <v>72.432208000000003</v>
      </c>
      <c r="W578">
        <v>5.6842600000000001</v>
      </c>
      <c r="X578">
        <v>78.806780000000003</v>
      </c>
      <c r="Y578">
        <v>22.5</v>
      </c>
      <c r="Z578">
        <v>70.358726501464801</v>
      </c>
      <c r="AJ578">
        <v>-0.38992542028427118</v>
      </c>
      <c r="AK578">
        <v>-0.36825102567672729</v>
      </c>
      <c r="AL578">
        <v>1.2827675E-2</v>
      </c>
      <c r="AM578">
        <f>VLOOKUP(D578,[1]Sheet1!$C$1:$D$191,2,FALSE)</f>
        <v>74</v>
      </c>
    </row>
    <row r="579" spans="1:39" x14ac:dyDescent="0.35">
      <c r="A579">
        <v>2016</v>
      </c>
      <c r="B579" t="s">
        <v>77</v>
      </c>
      <c r="C579">
        <v>74</v>
      </c>
      <c r="D579" t="s">
        <v>277</v>
      </c>
      <c r="E579">
        <v>7386.4247500000001</v>
      </c>
      <c r="F579">
        <v>250000</v>
      </c>
      <c r="G579">
        <v>257386.42475000001</v>
      </c>
      <c r="H579">
        <v>11793003947.892599</v>
      </c>
      <c r="I579">
        <v>11181350649.3573</v>
      </c>
      <c r="J579">
        <v>1.4897844867958379E-2</v>
      </c>
      <c r="K579">
        <v>3817.9196271670198</v>
      </c>
      <c r="L579">
        <v>-5.4707146243111208E-3</v>
      </c>
      <c r="M579">
        <v>3838.9212698998399</v>
      </c>
      <c r="N579">
        <v>0.73327222731439701</v>
      </c>
      <c r="O579">
        <v>101.055237224997</v>
      </c>
      <c r="P579">
        <v>56.9431593815467</v>
      </c>
      <c r="Q579">
        <v>27.398561968537798</v>
      </c>
      <c r="R579">
        <v>3088856</v>
      </c>
      <c r="S579">
        <v>2.0480603026763012E-2</v>
      </c>
      <c r="T579">
        <v>48.841999999999999</v>
      </c>
      <c r="U579">
        <v>6.62</v>
      </c>
      <c r="V579">
        <v>87.955641</v>
      </c>
      <c r="W579">
        <v>4.4620040000000003</v>
      </c>
      <c r="X579">
        <v>85.087959999999995</v>
      </c>
      <c r="Y579">
        <v>22.265799999999999</v>
      </c>
      <c r="Z579">
        <v>65.247711181640597</v>
      </c>
      <c r="AJ579">
        <v>-0.22633567452430731</v>
      </c>
      <c r="AK579">
        <v>-9.9387668073177338E-2</v>
      </c>
      <c r="AL579">
        <v>3.8938149999999998E-2</v>
      </c>
      <c r="AM579">
        <f>VLOOKUP(D579,[1]Sheet1!$C$1:$D$191,2,FALSE)</f>
        <v>74</v>
      </c>
    </row>
    <row r="580" spans="1:39" x14ac:dyDescent="0.35">
      <c r="A580">
        <v>2017</v>
      </c>
      <c r="B580" t="s">
        <v>77</v>
      </c>
      <c r="C580">
        <v>74</v>
      </c>
      <c r="D580" t="s">
        <v>277</v>
      </c>
      <c r="E580">
        <v>19015</v>
      </c>
      <c r="G580">
        <v>19015</v>
      </c>
      <c r="H580">
        <v>12457761002.7432</v>
      </c>
      <c r="I580">
        <v>11480847740.736</v>
      </c>
      <c r="J580">
        <v>5.6368763869479817E-2</v>
      </c>
      <c r="K580">
        <v>3956.2049437134001</v>
      </c>
      <c r="L580">
        <v>3.622007010372584E-2</v>
      </c>
      <c r="M580">
        <v>3817.9196271670198</v>
      </c>
      <c r="N580">
        <v>4.3014310530234203</v>
      </c>
      <c r="O580">
        <v>115.932901867963</v>
      </c>
      <c r="P580">
        <v>52.817722933145902</v>
      </c>
      <c r="Q580">
        <v>23.7015119822005</v>
      </c>
      <c r="R580">
        <v>3148917</v>
      </c>
      <c r="S580">
        <v>1.9444415667159622E-2</v>
      </c>
      <c r="T580">
        <v>48.953000000000003</v>
      </c>
      <c r="U580">
        <v>6.5</v>
      </c>
      <c r="V580">
        <v>93.113242</v>
      </c>
      <c r="W580">
        <v>4.8375890000000004</v>
      </c>
      <c r="X580">
        <v>78.786299999999997</v>
      </c>
      <c r="Y580">
        <v>23.714300000000001</v>
      </c>
      <c r="Z580">
        <v>64.405570983886705</v>
      </c>
      <c r="AJ580">
        <v>-0.31659698486328119</v>
      </c>
      <c r="AK580">
        <v>-0.12852184474468231</v>
      </c>
      <c r="AL580">
        <v>3.2860075000000002E-2</v>
      </c>
      <c r="AM580">
        <f>VLOOKUP(D580,[1]Sheet1!$C$1:$D$191,2,FALSE)</f>
        <v>74</v>
      </c>
    </row>
    <row r="581" spans="1:39" x14ac:dyDescent="0.35">
      <c r="A581">
        <v>2018</v>
      </c>
      <c r="B581" t="s">
        <v>77</v>
      </c>
      <c r="C581">
        <v>74</v>
      </c>
      <c r="D581" t="s">
        <v>277</v>
      </c>
      <c r="E581">
        <v>64547.987549999998</v>
      </c>
      <c r="F581">
        <v>37690067.799999997</v>
      </c>
      <c r="G581">
        <v>37754615.787550002</v>
      </c>
      <c r="H581">
        <v>13422599720.361601</v>
      </c>
      <c r="I581">
        <v>13178094720.4986</v>
      </c>
      <c r="J581">
        <v>7.7448806202490394E-2</v>
      </c>
      <c r="K581">
        <v>4183.8556644766104</v>
      </c>
      <c r="L581">
        <v>5.7542701655271485E-2</v>
      </c>
      <c r="M581">
        <v>3956.2049437134001</v>
      </c>
      <c r="N581">
        <v>6.8242479014552204</v>
      </c>
      <c r="O581">
        <v>126.355873241513</v>
      </c>
      <c r="P581">
        <v>55.406840025249402</v>
      </c>
      <c r="Q581">
        <v>22.500629131070099</v>
      </c>
      <c r="R581">
        <v>3208189</v>
      </c>
      <c r="S581">
        <v>1.882297945611142E-2</v>
      </c>
      <c r="T581">
        <v>48.716999999999999</v>
      </c>
      <c r="U581">
        <v>6.5</v>
      </c>
      <c r="V581">
        <v>106.88226</v>
      </c>
      <c r="W581">
        <v>4.5561540000000003</v>
      </c>
      <c r="X581">
        <v>79.209069999999997</v>
      </c>
      <c r="Y581">
        <v>47.13</v>
      </c>
      <c r="Z581">
        <v>65.103050231933594</v>
      </c>
      <c r="AJ581">
        <v>-0.27861273288726812</v>
      </c>
      <c r="AK581">
        <v>8.2067148759961128E-3</v>
      </c>
      <c r="AL581">
        <v>0</v>
      </c>
      <c r="AM581">
        <f>VLOOKUP(D581,[1]Sheet1!$C$1:$D$191,2,FALSE)</f>
        <v>74</v>
      </c>
    </row>
    <row r="582" spans="1:39" x14ac:dyDescent="0.35">
      <c r="A582">
        <v>2019</v>
      </c>
      <c r="B582" t="s">
        <v>77</v>
      </c>
      <c r="C582">
        <v>74</v>
      </c>
      <c r="D582" t="s">
        <v>277</v>
      </c>
      <c r="E582">
        <v>130385</v>
      </c>
      <c r="F582">
        <v>62896.351372284</v>
      </c>
      <c r="G582">
        <v>193281.351372284</v>
      </c>
      <c r="H582">
        <v>14174566537.4555</v>
      </c>
      <c r="I582">
        <v>14206359017.514299</v>
      </c>
      <c r="J582">
        <v>5.6022442206422364E-2</v>
      </c>
      <c r="K582">
        <v>4337.8167085431996</v>
      </c>
      <c r="L582">
        <v>3.6798842123978812E-2</v>
      </c>
      <c r="M582">
        <v>4183.8556644766104</v>
      </c>
      <c r="N582">
        <v>7.3010695355072297</v>
      </c>
      <c r="O582">
        <v>124.396514621165</v>
      </c>
      <c r="P582">
        <v>48.901022146608298</v>
      </c>
      <c r="Q582">
        <v>25.616246568821701</v>
      </c>
      <c r="R582">
        <v>3267673</v>
      </c>
      <c r="S582">
        <v>1.8541301650245669E-2</v>
      </c>
      <c r="T582">
        <v>56.286000000000001</v>
      </c>
      <c r="U582">
        <v>6.5</v>
      </c>
      <c r="V582">
        <v>56.410096000000003</v>
      </c>
      <c r="W582">
        <v>4.7827380000000002</v>
      </c>
      <c r="X582">
        <v>84.393709999999999</v>
      </c>
      <c r="Y582">
        <v>51.08</v>
      </c>
      <c r="Z582">
        <v>67.970817565917997</v>
      </c>
      <c r="AJ582">
        <v>-0.25833010673522949</v>
      </c>
      <c r="AK582">
        <v>-2.5270238984376192E-3</v>
      </c>
      <c r="AL582">
        <v>0</v>
      </c>
      <c r="AM582">
        <f>VLOOKUP(D582,[1]Sheet1!$C$1:$D$191,2,FALSE)</f>
        <v>74</v>
      </c>
    </row>
    <row r="583" spans="1:39" x14ac:dyDescent="0.35">
      <c r="A583">
        <v>2020</v>
      </c>
      <c r="B583" t="s">
        <v>77</v>
      </c>
      <c r="C583">
        <v>74</v>
      </c>
      <c r="D583" t="s">
        <v>277</v>
      </c>
      <c r="E583">
        <v>116733</v>
      </c>
      <c r="F583">
        <v>428816.25</v>
      </c>
      <c r="G583">
        <v>545549.25</v>
      </c>
      <c r="H583">
        <v>13528524951.0287</v>
      </c>
      <c r="I583">
        <v>13312981429.0891</v>
      </c>
      <c r="J583">
        <v>-4.5577519758341178E-2</v>
      </c>
      <c r="K583">
        <v>4066.0341088279101</v>
      </c>
      <c r="L583">
        <v>-6.2654237828910997E-2</v>
      </c>
      <c r="M583">
        <v>4337.8167085431996</v>
      </c>
      <c r="N583">
        <v>3.7960402611124699</v>
      </c>
      <c r="O583">
        <v>112.83864762931699</v>
      </c>
      <c r="P583">
        <v>45.785164527551899</v>
      </c>
      <c r="Q583">
        <v>33.178993542121802</v>
      </c>
      <c r="R583">
        <v>3327204</v>
      </c>
      <c r="S583">
        <v>1.8218163200540569E-2</v>
      </c>
      <c r="T583">
        <v>53.860999999999997</v>
      </c>
      <c r="U583">
        <v>6.48</v>
      </c>
      <c r="V583">
        <v>47.986387000000001</v>
      </c>
      <c r="W583">
        <v>4.4799480000000003</v>
      </c>
      <c r="X583">
        <v>85.039060000000006</v>
      </c>
      <c r="Y583">
        <v>62.5</v>
      </c>
      <c r="Z583">
        <v>66.255746710774901</v>
      </c>
      <c r="AJ583">
        <v>-0.2694244384765625</v>
      </c>
      <c r="AK583">
        <v>-0.1089325323700905</v>
      </c>
      <c r="AL583">
        <v>3.0828375000000002E-2</v>
      </c>
      <c r="AM583">
        <f>VLOOKUP(D583,[1]Sheet1!$C$1:$D$191,2,FALSE)</f>
        <v>74</v>
      </c>
    </row>
    <row r="584" spans="1:39" x14ac:dyDescent="0.35">
      <c r="A584">
        <v>2013</v>
      </c>
      <c r="B584" t="s">
        <v>78</v>
      </c>
      <c r="C584">
        <v>75</v>
      </c>
      <c r="D584" t="s">
        <v>278</v>
      </c>
      <c r="E584">
        <v>163172.8400174687</v>
      </c>
      <c r="G584">
        <v>163172.8400174687</v>
      </c>
      <c r="H584">
        <v>103015299181.34801</v>
      </c>
      <c r="I584">
        <v>115739287305.08</v>
      </c>
      <c r="J584">
        <v>4.1222128686093457E-2</v>
      </c>
      <c r="K584">
        <v>3008.185546875</v>
      </c>
      <c r="L584">
        <v>2.7578641924661217E-2</v>
      </c>
      <c r="M584">
        <v>2927.45043945313</v>
      </c>
      <c r="N584">
        <v>1.8806546672408599</v>
      </c>
      <c r="O584">
        <v>73.857756531531805</v>
      </c>
      <c r="P584">
        <v>83.565542560535206</v>
      </c>
      <c r="Q584">
        <v>25.698716149995299</v>
      </c>
      <c r="R584">
        <v>33787571</v>
      </c>
      <c r="S584">
        <v>1.296138139130819E-2</v>
      </c>
      <c r="U584">
        <v>4.07</v>
      </c>
      <c r="V584">
        <v>24.263855</v>
      </c>
      <c r="W584">
        <v>2.879426</v>
      </c>
      <c r="X584">
        <v>67.94247</v>
      </c>
      <c r="Y584">
        <v>56</v>
      </c>
      <c r="Z584">
        <v>22.4068908691406</v>
      </c>
      <c r="AJ584">
        <v>-0.34468615055084229</v>
      </c>
      <c r="AK584">
        <v>-9.1055743396282196E-2</v>
      </c>
      <c r="AL584">
        <v>1.49239E-2</v>
      </c>
      <c r="AM584">
        <f>VLOOKUP(D584,[1]Sheet1!$C$1:$D$191,2,FALSE)</f>
        <v>75</v>
      </c>
    </row>
    <row r="585" spans="1:39" x14ac:dyDescent="0.35">
      <c r="A585">
        <v>2014</v>
      </c>
      <c r="B585" t="s">
        <v>78</v>
      </c>
      <c r="C585">
        <v>75</v>
      </c>
      <c r="D585" t="s">
        <v>278</v>
      </c>
      <c r="E585">
        <v>413343.33277731878</v>
      </c>
      <c r="G585">
        <v>413343.33277731884</v>
      </c>
      <c r="H585">
        <v>105816536606.03999</v>
      </c>
      <c r="I585">
        <v>119130841411.664</v>
      </c>
      <c r="J585">
        <v>2.7192440802027776E-2</v>
      </c>
      <c r="K585">
        <v>3051.458984375</v>
      </c>
      <c r="L585">
        <v>1.4385228844993899E-2</v>
      </c>
      <c r="M585">
        <v>3008.185546875</v>
      </c>
      <c r="N585">
        <v>0.442310053557048</v>
      </c>
      <c r="O585">
        <v>71.893566753939794</v>
      </c>
      <c r="P585">
        <v>83.510307614346104</v>
      </c>
      <c r="Q585">
        <v>25.4170336330975</v>
      </c>
      <c r="R585">
        <v>34204780</v>
      </c>
      <c r="S585">
        <v>1.2348002169200029E-2</v>
      </c>
      <c r="T585">
        <v>50.683999999999997</v>
      </c>
      <c r="U585">
        <v>4</v>
      </c>
      <c r="V585">
        <v>25.278144999999999</v>
      </c>
      <c r="W585">
        <v>2.5723379999999998</v>
      </c>
      <c r="X585">
        <v>74.710040000000006</v>
      </c>
      <c r="Y585">
        <v>56.7746</v>
      </c>
      <c r="Z585">
        <v>25.311241503142199</v>
      </c>
      <c r="AJ585">
        <v>-0.1309611648321152</v>
      </c>
      <c r="AK585">
        <v>-2.7915997430682179E-2</v>
      </c>
      <c r="AL585">
        <v>9.9492750000000005E-3</v>
      </c>
      <c r="AM585">
        <f>VLOOKUP(D585,[1]Sheet1!$C$1:$D$191,2,FALSE)</f>
        <v>75</v>
      </c>
    </row>
    <row r="586" spans="1:39" x14ac:dyDescent="0.35">
      <c r="A586">
        <v>2015</v>
      </c>
      <c r="B586" t="s">
        <v>78</v>
      </c>
      <c r="C586">
        <v>75</v>
      </c>
      <c r="D586" t="s">
        <v>278</v>
      </c>
      <c r="E586">
        <v>131008.4173190431</v>
      </c>
      <c r="G586">
        <v>131008.4173190431</v>
      </c>
      <c r="H586">
        <v>110413823841.592</v>
      </c>
      <c r="I586">
        <v>110413823841.592</v>
      </c>
      <c r="J586">
        <v>4.3445829763526671E-2</v>
      </c>
      <c r="K586">
        <v>3146.24780273438</v>
      </c>
      <c r="L586">
        <v>3.1063441732216059E-2</v>
      </c>
      <c r="M586">
        <v>3051.458984375</v>
      </c>
      <c r="N586">
        <v>1.5579071134625999</v>
      </c>
      <c r="O586">
        <v>67.288675925384894</v>
      </c>
      <c r="P586">
        <v>78.393397996693395</v>
      </c>
      <c r="Q586">
        <v>23.0606083372986</v>
      </c>
      <c r="R586">
        <v>34607588</v>
      </c>
      <c r="S586">
        <v>1.1776365759405556E-2</v>
      </c>
      <c r="U586">
        <v>4.66</v>
      </c>
      <c r="V586">
        <v>26.064858000000001</v>
      </c>
      <c r="W586">
        <v>2.927079</v>
      </c>
      <c r="X586">
        <v>67.708079999999995</v>
      </c>
      <c r="Y586">
        <v>57.08</v>
      </c>
      <c r="Z586">
        <v>28.551913057315399</v>
      </c>
      <c r="AJ586">
        <v>-0.1813714802265167</v>
      </c>
      <c r="AK586">
        <v>-9.8493114113807678E-2</v>
      </c>
      <c r="AL586">
        <v>2.5818250000000001E-2</v>
      </c>
      <c r="AM586">
        <f>VLOOKUP(D586,[1]Sheet1!$C$1:$D$191,2,FALSE)</f>
        <v>75</v>
      </c>
    </row>
    <row r="587" spans="1:39" x14ac:dyDescent="0.35">
      <c r="A587">
        <v>2016</v>
      </c>
      <c r="B587" t="s">
        <v>78</v>
      </c>
      <c r="C587">
        <v>75</v>
      </c>
      <c r="D587" t="s">
        <v>278</v>
      </c>
      <c r="E587">
        <v>724410.74693318945</v>
      </c>
      <c r="G587">
        <v>724410.74693318945</v>
      </c>
      <c r="H587">
        <v>110989284688.174</v>
      </c>
      <c r="I587">
        <v>111572947004.91701</v>
      </c>
      <c r="J587">
        <v>5.2118550608988984E-3</v>
      </c>
      <c r="K587">
        <v>3124.42504882813</v>
      </c>
      <c r="L587">
        <v>-6.9361205075086614E-3</v>
      </c>
      <c r="M587">
        <v>3146.24780273438</v>
      </c>
      <c r="N587">
        <v>1.63531114327064</v>
      </c>
      <c r="O587">
        <v>71.122660381686401</v>
      </c>
      <c r="P587">
        <v>80.229949677388106</v>
      </c>
      <c r="Q587">
        <v>22.768587387331401</v>
      </c>
      <c r="R587">
        <v>35023457</v>
      </c>
      <c r="S587">
        <v>1.2016699921416078E-2</v>
      </c>
      <c r="U587">
        <v>4.7699999999999996</v>
      </c>
      <c r="V587">
        <v>26.837126000000001</v>
      </c>
      <c r="W587">
        <v>2.5007519999999999</v>
      </c>
      <c r="X587">
        <v>65.230819999999994</v>
      </c>
      <c r="Y587">
        <v>58.2712</v>
      </c>
      <c r="Z587">
        <v>32.095257924323903</v>
      </c>
      <c r="AJ587">
        <v>-0.27275422215461731</v>
      </c>
      <c r="AK587">
        <v>-0.15564095973968509</v>
      </c>
      <c r="AL587">
        <v>2.0453824999999998E-2</v>
      </c>
      <c r="AM587">
        <f>VLOOKUP(D587,[1]Sheet1!$C$1:$D$191,2,FALSE)</f>
        <v>75</v>
      </c>
    </row>
    <row r="588" spans="1:39" x14ac:dyDescent="0.35">
      <c r="A588">
        <v>2017</v>
      </c>
      <c r="B588" t="s">
        <v>78</v>
      </c>
      <c r="C588">
        <v>75</v>
      </c>
      <c r="D588" t="s">
        <v>278</v>
      </c>
      <c r="E588">
        <v>61683.7</v>
      </c>
      <c r="G588">
        <v>61683.7</v>
      </c>
      <c r="H588">
        <v>116603009678.13901</v>
      </c>
      <c r="I588">
        <v>118540573367.84399</v>
      </c>
      <c r="J588">
        <v>5.0578981617341291E-2</v>
      </c>
      <c r="K588">
        <v>3242.64428710938</v>
      </c>
      <c r="L588">
        <v>3.7837117688449648E-2</v>
      </c>
      <c r="M588">
        <v>3124.42504882813</v>
      </c>
      <c r="N588">
        <v>0.75466324932361895</v>
      </c>
      <c r="O588">
        <v>74.173357878657299</v>
      </c>
      <c r="P588">
        <v>80.194048165088901</v>
      </c>
      <c r="Q588">
        <v>22.679271229823101</v>
      </c>
      <c r="R588">
        <v>35446392</v>
      </c>
      <c r="S588">
        <v>1.2075763965847232E-2</v>
      </c>
      <c r="U588">
        <v>4.87</v>
      </c>
      <c r="V588">
        <v>27.206928999999999</v>
      </c>
      <c r="W588">
        <v>2.5338120000000002</v>
      </c>
      <c r="X588">
        <v>65.328969999999998</v>
      </c>
      <c r="Y588">
        <v>61.7622</v>
      </c>
      <c r="Z588">
        <v>33.473543309070301</v>
      </c>
      <c r="AJ588">
        <v>-0.27835819125175482</v>
      </c>
      <c r="AK588">
        <v>-0.15876409411430359</v>
      </c>
      <c r="AL588">
        <v>6.6930475000000003E-2</v>
      </c>
      <c r="AM588">
        <f>VLOOKUP(D588,[1]Sheet1!$C$1:$D$191,2,FALSE)</f>
        <v>75</v>
      </c>
    </row>
    <row r="589" spans="1:39" x14ac:dyDescent="0.35">
      <c r="A589">
        <v>2018</v>
      </c>
      <c r="B589" t="s">
        <v>78</v>
      </c>
      <c r="C589">
        <v>75</v>
      </c>
      <c r="D589" t="s">
        <v>278</v>
      </c>
      <c r="E589">
        <v>99643.33</v>
      </c>
      <c r="G589">
        <v>99643.33</v>
      </c>
      <c r="H589">
        <v>120177639735.159</v>
      </c>
      <c r="I589">
        <v>127341147581.81799</v>
      </c>
      <c r="J589">
        <v>3.0656413302599071E-2</v>
      </c>
      <c r="K589">
        <v>3304.7119140625</v>
      </c>
      <c r="L589">
        <v>1.9141053244680597E-2</v>
      </c>
      <c r="M589">
        <v>3242.64428710938</v>
      </c>
      <c r="N589">
        <v>1.80391671141896</v>
      </c>
      <c r="O589">
        <v>77.254887524398896</v>
      </c>
      <c r="P589">
        <v>78.956810179216802</v>
      </c>
      <c r="Q589">
        <v>22.8575069212215</v>
      </c>
      <c r="R589">
        <v>35839760</v>
      </c>
      <c r="S589">
        <v>1.10975469661341E-2</v>
      </c>
      <c r="U589">
        <v>4.99</v>
      </c>
      <c r="V589">
        <v>27.792099</v>
      </c>
      <c r="W589">
        <v>2.4393940000000001</v>
      </c>
      <c r="X589">
        <v>64.30444</v>
      </c>
      <c r="Y589">
        <v>64.803899999999999</v>
      </c>
      <c r="Z589">
        <v>35.319186358341</v>
      </c>
      <c r="AJ589">
        <v>-0.24864460527896881</v>
      </c>
      <c r="AK589">
        <v>-0.25915530323982239</v>
      </c>
      <c r="AL589">
        <v>3.2480149999999999E-2</v>
      </c>
      <c r="AM589">
        <f>VLOOKUP(D589,[1]Sheet1!$C$1:$D$191,2,FALSE)</f>
        <v>75</v>
      </c>
    </row>
    <row r="590" spans="1:39" x14ac:dyDescent="0.35">
      <c r="A590">
        <v>2019</v>
      </c>
      <c r="B590" t="s">
        <v>78</v>
      </c>
      <c r="C590">
        <v>75</v>
      </c>
      <c r="D590" t="s">
        <v>278</v>
      </c>
      <c r="E590">
        <v>227668.20449999999</v>
      </c>
      <c r="F590">
        <v>207.99619999999999</v>
      </c>
      <c r="G590">
        <v>227876.20069999999</v>
      </c>
      <c r="H590">
        <v>123651944968.713</v>
      </c>
      <c r="I590">
        <v>128920266409.45799</v>
      </c>
      <c r="J590">
        <v>2.8909747613703244E-2</v>
      </c>
      <c r="K590">
        <v>3364.73950195313</v>
      </c>
      <c r="L590">
        <v>1.8164242285445623E-2</v>
      </c>
      <c r="M590">
        <v>3304.7119140625</v>
      </c>
      <c r="N590">
        <v>0.30338603659038299</v>
      </c>
      <c r="O590">
        <v>75.998115879842203</v>
      </c>
      <c r="P590">
        <v>81.474859548914495</v>
      </c>
      <c r="Q590">
        <v>23.387677886430101</v>
      </c>
      <c r="R590">
        <v>36210898</v>
      </c>
      <c r="S590">
        <v>1.0355482291176056E-2</v>
      </c>
      <c r="U590">
        <v>5.0999999999999996</v>
      </c>
      <c r="V590">
        <v>28.582148</v>
      </c>
      <c r="W590">
        <v>2.3383229999999999</v>
      </c>
      <c r="X590">
        <v>63.756279999999997</v>
      </c>
      <c r="Y590">
        <v>84.120400000000004</v>
      </c>
      <c r="Z590">
        <v>37.721202138248103</v>
      </c>
      <c r="AJ590">
        <v>-0.23337709903717041</v>
      </c>
      <c r="AK590">
        <v>-0.15459512174129489</v>
      </c>
      <c r="AL590">
        <v>1.430355E-2</v>
      </c>
      <c r="AM590">
        <f>VLOOKUP(D590,[1]Sheet1!$C$1:$D$191,2,FALSE)</f>
        <v>75</v>
      </c>
    </row>
    <row r="591" spans="1:39" x14ac:dyDescent="0.35">
      <c r="A591">
        <v>2020</v>
      </c>
      <c r="B591" t="s">
        <v>78</v>
      </c>
      <c r="C591">
        <v>75</v>
      </c>
      <c r="D591" t="s">
        <v>278</v>
      </c>
      <c r="E591">
        <v>25418.293958549999</v>
      </c>
      <c r="F591">
        <v>631.88478000000009</v>
      </c>
      <c r="G591">
        <v>26050.178738549999</v>
      </c>
      <c r="H591">
        <v>114775951852.213</v>
      </c>
      <c r="I591">
        <v>121353645057.144</v>
      </c>
      <c r="J591">
        <v>-7.1782074424675213E-2</v>
      </c>
      <c r="K591">
        <v>3090.89428710938</v>
      </c>
      <c r="L591">
        <v>-8.1386750648836589E-2</v>
      </c>
      <c r="M591">
        <v>3364.73950195313</v>
      </c>
      <c r="N591">
        <v>0.70596866133826097</v>
      </c>
      <c r="O591">
        <v>68.843803390436406</v>
      </c>
      <c r="P591">
        <v>90.931444975295804</v>
      </c>
      <c r="Q591">
        <v>27.2102123069577</v>
      </c>
      <c r="R591">
        <v>36584208</v>
      </c>
      <c r="S591">
        <v>1.0309327319084989E-2</v>
      </c>
      <c r="U591">
        <v>5.04</v>
      </c>
      <c r="V591">
        <v>28.612290000000002</v>
      </c>
      <c r="W591">
        <v>2.385319</v>
      </c>
      <c r="X591">
        <v>64.315880000000007</v>
      </c>
      <c r="Y591">
        <v>84.120400000000004</v>
      </c>
      <c r="Z591">
        <v>39.685804757444501</v>
      </c>
      <c r="AJ591">
        <v>-0.18695077300071719</v>
      </c>
      <c r="AK591">
        <v>-4.7914836555719383E-2</v>
      </c>
      <c r="AL591">
        <v>6.5629875000000004E-2</v>
      </c>
      <c r="AM591">
        <f>VLOOKUP(D591,[1]Sheet1!$C$1:$D$191,2,FALSE)</f>
        <v>75</v>
      </c>
    </row>
    <row r="592" spans="1:39" x14ac:dyDescent="0.35">
      <c r="A592">
        <v>2013</v>
      </c>
      <c r="B592" t="s">
        <v>79</v>
      </c>
      <c r="C592">
        <v>76</v>
      </c>
      <c r="D592" t="s">
        <v>279</v>
      </c>
      <c r="E592">
        <v>274426.8711168181</v>
      </c>
      <c r="F592">
        <v>302850</v>
      </c>
      <c r="G592">
        <v>577276.87111681816</v>
      </c>
      <c r="H592">
        <v>14013719723.485901</v>
      </c>
      <c r="I592">
        <v>17198073057.198101</v>
      </c>
      <c r="J592">
        <v>6.5714138966556798E-2</v>
      </c>
      <c r="K592">
        <v>559.39395368568796</v>
      </c>
      <c r="L592">
        <v>3.5350045719239317E-2</v>
      </c>
      <c r="M592">
        <v>540.2945177803</v>
      </c>
      <c r="N592">
        <v>4.2613525094197202</v>
      </c>
      <c r="O592">
        <v>109.38537659913</v>
      </c>
      <c r="P592">
        <v>26.261154758769599</v>
      </c>
      <c r="R592">
        <v>25051611</v>
      </c>
      <c r="S592">
        <v>2.9327369398261458E-2</v>
      </c>
      <c r="U592">
        <v>4.7699999999999996</v>
      </c>
      <c r="V592">
        <v>7.7641378999999997</v>
      </c>
      <c r="W592">
        <v>6.1485440000000002</v>
      </c>
      <c r="X592">
        <v>79.265649999999994</v>
      </c>
      <c r="Y592">
        <v>5.5</v>
      </c>
      <c r="Z592">
        <v>5.59344755668074</v>
      </c>
      <c r="AJ592">
        <v>-0.82020318508148193</v>
      </c>
      <c r="AK592">
        <v>-0.41751945018768311</v>
      </c>
      <c r="AL592">
        <v>7.6102349999999999E-2</v>
      </c>
      <c r="AM592">
        <f>VLOOKUP(D592,[1]Sheet1!$C$1:$D$191,2,FALSE)</f>
        <v>76</v>
      </c>
    </row>
    <row r="593" spans="1:39" x14ac:dyDescent="0.35">
      <c r="A593">
        <v>2014</v>
      </c>
      <c r="B593" t="s">
        <v>79</v>
      </c>
      <c r="C593">
        <v>76</v>
      </c>
      <c r="D593" t="s">
        <v>279</v>
      </c>
      <c r="E593">
        <v>49314.199043330103</v>
      </c>
      <c r="F593">
        <v>375075</v>
      </c>
      <c r="G593">
        <v>424389.1990433301</v>
      </c>
      <c r="H593">
        <v>15093136077.3533</v>
      </c>
      <c r="I593">
        <v>17978246586.0662</v>
      </c>
      <c r="J593">
        <v>7.7025684483926243E-2</v>
      </c>
      <c r="K593">
        <v>585.266716133984</v>
      </c>
      <c r="L593">
        <v>4.6251415979432303E-2</v>
      </c>
      <c r="M593">
        <v>559.39395368568796</v>
      </c>
      <c r="N593">
        <v>2.5597487584429501</v>
      </c>
      <c r="O593">
        <v>116.35685524221699</v>
      </c>
      <c r="P593">
        <v>30.188781793048001</v>
      </c>
      <c r="R593">
        <v>25788475</v>
      </c>
      <c r="S593">
        <v>2.9413836898553151E-2</v>
      </c>
      <c r="U593">
        <v>4.66</v>
      </c>
      <c r="V593">
        <v>9.2203491999999994</v>
      </c>
      <c r="W593">
        <v>5.8420430000000003</v>
      </c>
      <c r="X593">
        <v>76.257000000000005</v>
      </c>
      <c r="Y593">
        <v>6</v>
      </c>
      <c r="Z593">
        <v>6.2504913252799703</v>
      </c>
      <c r="AJ593">
        <v>-0.80928468704223633</v>
      </c>
      <c r="AK593">
        <v>-0.43586888909339899</v>
      </c>
      <c r="AL593">
        <v>6.5696249999999998E-2</v>
      </c>
      <c r="AM593">
        <f>VLOOKUP(D593,[1]Sheet1!$C$1:$D$191,2,FALSE)</f>
        <v>76</v>
      </c>
    </row>
    <row r="594" spans="1:39" x14ac:dyDescent="0.35">
      <c r="A594">
        <v>2015</v>
      </c>
      <c r="B594" t="s">
        <v>79</v>
      </c>
      <c r="C594">
        <v>76</v>
      </c>
      <c r="D594" t="s">
        <v>279</v>
      </c>
      <c r="E594">
        <v>44030.235065369103</v>
      </c>
      <c r="F594">
        <v>592550</v>
      </c>
      <c r="G594">
        <v>636580.23506536905</v>
      </c>
      <c r="H594">
        <v>16208985769.615</v>
      </c>
      <c r="I594">
        <v>16208985769.615</v>
      </c>
      <c r="J594">
        <v>7.393093698638227E-2</v>
      </c>
      <c r="K594">
        <v>610.56377470658902</v>
      </c>
      <c r="L594">
        <v>4.3223128661247501E-2</v>
      </c>
      <c r="M594">
        <v>585.266716133984</v>
      </c>
      <c r="N594">
        <v>3.5507596735674598</v>
      </c>
      <c r="O594">
        <v>98.761203651090099</v>
      </c>
      <c r="P594">
        <v>32.053131673048199</v>
      </c>
      <c r="R594">
        <v>26547572</v>
      </c>
      <c r="S594">
        <v>2.9435513344623906E-2</v>
      </c>
      <c r="T594">
        <v>70.332999999999998</v>
      </c>
      <c r="U594">
        <v>4.5999999999999996</v>
      </c>
      <c r="V594">
        <v>10.677882</v>
      </c>
      <c r="W594">
        <v>4.810276</v>
      </c>
      <c r="X594">
        <v>77.165329999999997</v>
      </c>
      <c r="Y594">
        <v>6.5</v>
      </c>
      <c r="Z594">
        <v>6.7318171770285904</v>
      </c>
      <c r="AJ594">
        <v>-0.86937904357910156</v>
      </c>
      <c r="AK594">
        <v>-0.56189900636672974</v>
      </c>
      <c r="AL594">
        <v>9.2054299999999992E-2</v>
      </c>
      <c r="AM594">
        <f>VLOOKUP(D594,[1]Sheet1!$C$1:$D$191,2,FALSE)</f>
        <v>76</v>
      </c>
    </row>
    <row r="595" spans="1:39" x14ac:dyDescent="0.35">
      <c r="A595">
        <v>2016</v>
      </c>
      <c r="B595" t="s">
        <v>79</v>
      </c>
      <c r="C595">
        <v>76</v>
      </c>
      <c r="D595" t="s">
        <v>279</v>
      </c>
      <c r="E595">
        <v>67756.5514750851</v>
      </c>
      <c r="F595">
        <v>539225</v>
      </c>
      <c r="G595">
        <v>606981.55147508509</v>
      </c>
      <c r="H595">
        <v>16970320249.5828</v>
      </c>
      <c r="I595">
        <v>12069051237.171101</v>
      </c>
      <c r="J595">
        <v>4.6969902422579743E-2</v>
      </c>
      <c r="K595">
        <v>620.77971495455495</v>
      </c>
      <c r="L595">
        <v>1.6731978985938492E-2</v>
      </c>
      <c r="M595">
        <v>610.56377470658902</v>
      </c>
      <c r="N595">
        <v>17.418041819759701</v>
      </c>
      <c r="O595">
        <v>110.394358201481</v>
      </c>
      <c r="P595">
        <v>31.2078879056346</v>
      </c>
      <c r="Q595">
        <v>18.519874275750698</v>
      </c>
      <c r="R595">
        <v>27337105</v>
      </c>
      <c r="S595">
        <v>2.9740309207938111E-2</v>
      </c>
      <c r="U595">
        <v>4.0199999999999996</v>
      </c>
      <c r="V595">
        <v>11.005483</v>
      </c>
      <c r="W595">
        <v>6.2347970000000004</v>
      </c>
      <c r="X595">
        <v>76.988150000000005</v>
      </c>
      <c r="Y595">
        <v>7</v>
      </c>
      <c r="Z595">
        <v>7.3419730407701298</v>
      </c>
      <c r="AJ595">
        <v>-1.075157642364502</v>
      </c>
      <c r="AK595">
        <v>-0.74905401468276978</v>
      </c>
      <c r="AL595">
        <v>0.129464</v>
      </c>
      <c r="AM595">
        <f>VLOOKUP(D595,[1]Sheet1!$C$1:$D$191,2,FALSE)</f>
        <v>76</v>
      </c>
    </row>
    <row r="596" spans="1:39" x14ac:dyDescent="0.35">
      <c r="A596">
        <v>2017</v>
      </c>
      <c r="B596" t="s">
        <v>79</v>
      </c>
      <c r="C596">
        <v>76</v>
      </c>
      <c r="D596" t="s">
        <v>279</v>
      </c>
      <c r="E596">
        <v>8058.0810099999999</v>
      </c>
      <c r="F596">
        <v>533725</v>
      </c>
      <c r="G596">
        <v>541783.08100999997</v>
      </c>
      <c r="H596">
        <v>17418032489.646999</v>
      </c>
      <c r="I596">
        <v>13264640645.7768</v>
      </c>
      <c r="J596">
        <v>2.6382073731060322E-2</v>
      </c>
      <c r="K596">
        <v>618.39769436033396</v>
      </c>
      <c r="L596">
        <v>-3.8371430909197295E-3</v>
      </c>
      <c r="M596">
        <v>620.77971495455495</v>
      </c>
      <c r="N596">
        <v>15.113207389938401</v>
      </c>
      <c r="O596">
        <v>105.745640702087</v>
      </c>
      <c r="P596">
        <v>24.458206452412199</v>
      </c>
      <c r="Q596">
        <v>17.6256749397463</v>
      </c>
      <c r="R596">
        <v>28166393</v>
      </c>
      <c r="S596">
        <v>3.0335618932582655E-2</v>
      </c>
      <c r="U596">
        <v>4.0199999999999996</v>
      </c>
      <c r="V596">
        <v>11.066319</v>
      </c>
      <c r="W596">
        <v>11.501939999999999</v>
      </c>
      <c r="X596">
        <v>76.785319999999999</v>
      </c>
      <c r="Y596">
        <v>7.7963300000000002</v>
      </c>
      <c r="Z596">
        <v>7.2457309919135602</v>
      </c>
      <c r="AJ596">
        <v>-1.007089257240295</v>
      </c>
      <c r="AK596">
        <v>-0.77082431316375732</v>
      </c>
      <c r="AL596">
        <v>0.16959764999999999</v>
      </c>
      <c r="AM596">
        <f>VLOOKUP(D596,[1]Sheet1!$C$1:$D$191,2,FALSE)</f>
        <v>76</v>
      </c>
    </row>
    <row r="597" spans="1:39" x14ac:dyDescent="0.35">
      <c r="A597">
        <v>2018</v>
      </c>
      <c r="B597" t="s">
        <v>79</v>
      </c>
      <c r="C597">
        <v>76</v>
      </c>
      <c r="D597" t="s">
        <v>279</v>
      </c>
      <c r="E597">
        <v>13352.193604</v>
      </c>
      <c r="F597">
        <v>553250</v>
      </c>
      <c r="G597">
        <v>566602.19360400003</v>
      </c>
      <c r="H597">
        <v>18025039081.869202</v>
      </c>
      <c r="I597">
        <v>15017358952.8452</v>
      </c>
      <c r="J597">
        <v>3.4849320242283238E-2</v>
      </c>
      <c r="K597">
        <v>621.15373419478703</v>
      </c>
      <c r="L597">
        <v>4.4567433863153452E-3</v>
      </c>
      <c r="M597">
        <v>618.39769436033396</v>
      </c>
      <c r="N597">
        <v>3.9113343999072301</v>
      </c>
      <c r="O597">
        <v>124.607457525372</v>
      </c>
      <c r="P597">
        <v>22.129203507103099</v>
      </c>
      <c r="Q597">
        <v>19.649486675822001</v>
      </c>
      <c r="R597">
        <v>29018644</v>
      </c>
      <c r="S597">
        <v>3.0257725936011757E-2</v>
      </c>
      <c r="U597">
        <v>3.85</v>
      </c>
      <c r="V597">
        <v>10.821141000000001</v>
      </c>
      <c r="W597">
        <v>8.7782160000000005</v>
      </c>
      <c r="X597">
        <v>76.811580000000006</v>
      </c>
      <c r="Y597">
        <v>10.9</v>
      </c>
      <c r="Z597">
        <v>7.4630510423432996</v>
      </c>
      <c r="AI597">
        <v>1</v>
      </c>
      <c r="AJ597">
        <v>-1.0676161050796511</v>
      </c>
      <c r="AK597">
        <v>-0.79663050174713135</v>
      </c>
      <c r="AL597">
        <v>0.15803834999999999</v>
      </c>
      <c r="AM597">
        <f>VLOOKUP(D597,[1]Sheet1!$C$1:$D$191,2,FALSE)</f>
        <v>76</v>
      </c>
    </row>
    <row r="598" spans="1:39" x14ac:dyDescent="0.35">
      <c r="A598">
        <v>2019</v>
      </c>
      <c r="B598" t="s">
        <v>79</v>
      </c>
      <c r="C598">
        <v>76</v>
      </c>
      <c r="D598" t="s">
        <v>279</v>
      </c>
      <c r="E598">
        <v>2758.7159695</v>
      </c>
      <c r="F598">
        <v>652100</v>
      </c>
      <c r="G598">
        <v>654858.71596950002</v>
      </c>
      <c r="H598">
        <v>18442825951.879902</v>
      </c>
      <c r="I598">
        <v>15512759046.672001</v>
      </c>
      <c r="J598">
        <v>2.3178139482146167E-2</v>
      </c>
      <c r="K598">
        <v>617.13932000194995</v>
      </c>
      <c r="L598">
        <v>-6.4628351595455488E-3</v>
      </c>
      <c r="M598">
        <v>621.15373419478703</v>
      </c>
      <c r="N598">
        <v>2.8027030792810601</v>
      </c>
      <c r="O598">
        <v>105.591171401921</v>
      </c>
      <c r="P598">
        <v>21.2791585156392</v>
      </c>
      <c r="Q598">
        <v>20.043250281661699</v>
      </c>
      <c r="R598">
        <v>29884380</v>
      </c>
      <c r="S598">
        <v>2.9833785479431774E-2</v>
      </c>
      <c r="U598">
        <v>3.65</v>
      </c>
      <c r="V598">
        <v>10.388773</v>
      </c>
      <c r="W598">
        <v>9.5690120000000007</v>
      </c>
      <c r="X598">
        <v>76.449579999999997</v>
      </c>
      <c r="Y598">
        <v>12.4793</v>
      </c>
      <c r="AI598">
        <v>1</v>
      </c>
      <c r="AJ598">
        <v>-1.0729702711105349</v>
      </c>
      <c r="AK598">
        <v>-0.78085553646087646</v>
      </c>
      <c r="AL598">
        <v>9.1779749999999993E-2</v>
      </c>
      <c r="AM598">
        <f>VLOOKUP(D598,[1]Sheet1!$C$1:$D$191,2,FALSE)</f>
        <v>76</v>
      </c>
    </row>
    <row r="599" spans="1:39" x14ac:dyDescent="0.35">
      <c r="A599">
        <v>2020</v>
      </c>
      <c r="B599" t="s">
        <v>79</v>
      </c>
      <c r="C599">
        <v>76</v>
      </c>
      <c r="D599" t="s">
        <v>279</v>
      </c>
      <c r="E599">
        <v>5801.6598203100002</v>
      </c>
      <c r="F599">
        <v>514225</v>
      </c>
      <c r="G599">
        <v>520026.65982031001</v>
      </c>
      <c r="H599">
        <v>18217911539.7402</v>
      </c>
      <c r="I599">
        <v>14235420174.1884</v>
      </c>
      <c r="J599">
        <v>-1.2195225001121697E-2</v>
      </c>
      <c r="K599">
        <v>591.80405998593199</v>
      </c>
      <c r="L599">
        <v>-4.1052739948473742E-2</v>
      </c>
      <c r="M599">
        <v>617.13932000194995</v>
      </c>
      <c r="N599">
        <v>3.48393567493209</v>
      </c>
      <c r="O599">
        <v>99.906146051978993</v>
      </c>
      <c r="P599">
        <v>23.869619269438299</v>
      </c>
      <c r="Q599">
        <v>22.904910395847999</v>
      </c>
      <c r="R599">
        <v>30783688</v>
      </c>
      <c r="S599">
        <v>3.0092911413922591E-2</v>
      </c>
      <c r="U599">
        <v>3.51</v>
      </c>
      <c r="V599">
        <v>9.7806955999999996</v>
      </c>
      <c r="W599">
        <v>7.6680289999999998</v>
      </c>
      <c r="X599">
        <v>75.338660000000004</v>
      </c>
      <c r="Y599">
        <v>14.2874</v>
      </c>
      <c r="AI599">
        <v>1</v>
      </c>
      <c r="AJ599">
        <v>-1.0767067670822139</v>
      </c>
      <c r="AK599">
        <v>-0.77288299798965454</v>
      </c>
      <c r="AL599">
        <v>0.116140275</v>
      </c>
      <c r="AM599">
        <f>VLOOKUP(D599,[1]Sheet1!$C$1:$D$191,2,FALSE)</f>
        <v>76</v>
      </c>
    </row>
    <row r="600" spans="1:39" x14ac:dyDescent="0.35">
      <c r="A600">
        <v>2013</v>
      </c>
      <c r="B600" t="s">
        <v>80</v>
      </c>
      <c r="C600">
        <v>77</v>
      </c>
      <c r="D600" t="s">
        <v>280</v>
      </c>
      <c r="E600">
        <v>7277.1561575750002</v>
      </c>
      <c r="F600">
        <v>7150</v>
      </c>
      <c r="G600">
        <v>14427.156157575</v>
      </c>
      <c r="H600">
        <v>10247261642.730801</v>
      </c>
      <c r="I600">
        <v>12043307277.123501</v>
      </c>
      <c r="J600">
        <v>5.6147196225452375E-2</v>
      </c>
      <c r="K600">
        <v>4549.26759093897</v>
      </c>
      <c r="L600">
        <v>2.9020837566376009E-2</v>
      </c>
      <c r="M600">
        <v>4420.9674137386201</v>
      </c>
      <c r="N600">
        <v>5.6009250229040104</v>
      </c>
      <c r="O600">
        <v>97.724904230383203</v>
      </c>
      <c r="Q600">
        <v>35.448430357802103</v>
      </c>
      <c r="R600">
        <v>2252508</v>
      </c>
      <c r="S600">
        <v>2.6361330761022012E-2</v>
      </c>
      <c r="T600">
        <v>62.777000000000001</v>
      </c>
      <c r="U600">
        <v>6.24</v>
      </c>
      <c r="V600">
        <v>53.606760999999999</v>
      </c>
      <c r="W600">
        <v>4.5033450000000004</v>
      </c>
      <c r="X600">
        <v>85.446879999999993</v>
      </c>
      <c r="Y600">
        <v>13.9</v>
      </c>
      <c r="Z600">
        <v>17.460399983866299</v>
      </c>
      <c r="AF600">
        <v>0</v>
      </c>
      <c r="AJ600">
        <v>0.3190859854221344</v>
      </c>
      <c r="AK600">
        <v>0.1642721742391586</v>
      </c>
      <c r="AL600">
        <v>0.113321775</v>
      </c>
      <c r="AM600">
        <f>VLOOKUP(D600,[1]Sheet1!$C$1:$D$191,2,FALSE)</f>
        <v>77</v>
      </c>
    </row>
    <row r="601" spans="1:39" x14ac:dyDescent="0.35">
      <c r="A601">
        <v>2014</v>
      </c>
      <c r="B601" t="s">
        <v>80</v>
      </c>
      <c r="C601">
        <v>77</v>
      </c>
      <c r="D601" t="s">
        <v>280</v>
      </c>
      <c r="E601">
        <v>12990.944623046</v>
      </c>
      <c r="G601">
        <v>12990.944623046</v>
      </c>
      <c r="H601">
        <v>10871578021.666901</v>
      </c>
      <c r="I601">
        <v>12435430969.6301</v>
      </c>
      <c r="J601">
        <v>6.0925191597794068E-2</v>
      </c>
      <c r="K601">
        <v>4701.9569418909796</v>
      </c>
      <c r="L601">
        <v>3.3563501794471158E-2</v>
      </c>
      <c r="M601">
        <v>4549.26759093897</v>
      </c>
      <c r="N601">
        <v>5.3501696685960196</v>
      </c>
      <c r="O601">
        <v>103.080137009254</v>
      </c>
      <c r="Q601">
        <v>37.151927284192801</v>
      </c>
      <c r="R601">
        <v>2312139</v>
      </c>
      <c r="S601">
        <v>2.647315791997187E-2</v>
      </c>
      <c r="T601">
        <v>61.232999999999997</v>
      </c>
      <c r="U601">
        <v>6.24</v>
      </c>
      <c r="V601">
        <v>56.696261</v>
      </c>
      <c r="W601">
        <v>4.9201920000000001</v>
      </c>
      <c r="X601">
        <v>85.535240000000002</v>
      </c>
      <c r="Y601">
        <v>14.84</v>
      </c>
      <c r="Z601">
        <v>18.465306928106699</v>
      </c>
      <c r="AF601">
        <v>0</v>
      </c>
      <c r="AJ601">
        <v>0.2065088748931885</v>
      </c>
      <c r="AK601">
        <v>7.6616585254669189E-2</v>
      </c>
      <c r="AL601">
        <v>5.0210050000000013E-2</v>
      </c>
      <c r="AM601">
        <f>VLOOKUP(D601,[1]Sheet1!$C$1:$D$191,2,FALSE)</f>
        <v>77</v>
      </c>
    </row>
    <row r="602" spans="1:39" x14ac:dyDescent="0.35">
      <c r="A602">
        <v>2015</v>
      </c>
      <c r="B602" t="s">
        <v>80</v>
      </c>
      <c r="C602">
        <v>77</v>
      </c>
      <c r="D602" t="s">
        <v>280</v>
      </c>
      <c r="E602">
        <v>344279.922036818</v>
      </c>
      <c r="F602">
        <v>10800</v>
      </c>
      <c r="G602">
        <v>355079.922036818</v>
      </c>
      <c r="H602">
        <v>11335161083.5061</v>
      </c>
      <c r="I602">
        <v>11335161083.5061</v>
      </c>
      <c r="J602">
        <v>4.2641745376364372E-2</v>
      </c>
      <c r="K602">
        <v>4774.1065086577501</v>
      </c>
      <c r="L602">
        <v>1.5344582619200716E-2</v>
      </c>
      <c r="M602">
        <v>4701.9569418909796</v>
      </c>
      <c r="N602">
        <v>3.39401538410559</v>
      </c>
      <c r="O602">
        <v>97.239031787347798</v>
      </c>
      <c r="P602">
        <v>65.625968835789095</v>
      </c>
      <c r="Q602">
        <v>38.001067750554</v>
      </c>
      <c r="R602">
        <v>2374300</v>
      </c>
      <c r="S602">
        <v>2.6884629341056052E-2</v>
      </c>
      <c r="U602">
        <v>6.31</v>
      </c>
      <c r="V602">
        <v>58.332911000000003</v>
      </c>
      <c r="W602">
        <v>4.6915459999999998</v>
      </c>
      <c r="X602">
        <v>84.311899999999994</v>
      </c>
      <c r="Y602">
        <v>25.687899999999999</v>
      </c>
      <c r="Z602">
        <v>19.655150499336099</v>
      </c>
      <c r="AF602">
        <v>0</v>
      </c>
      <c r="AJ602">
        <v>0.23758737742900851</v>
      </c>
      <c r="AK602">
        <v>4.4157978147268302E-2</v>
      </c>
      <c r="AL602">
        <v>2.0456575000000001E-2</v>
      </c>
      <c r="AM602">
        <f>VLOOKUP(D602,[1]Sheet1!$C$1:$D$191,2,FALSE)</f>
        <v>77</v>
      </c>
    </row>
    <row r="603" spans="1:39" x14ac:dyDescent="0.35">
      <c r="A603">
        <v>2016</v>
      </c>
      <c r="B603" t="s">
        <v>80</v>
      </c>
      <c r="C603">
        <v>77</v>
      </c>
      <c r="D603" t="s">
        <v>280</v>
      </c>
      <c r="E603">
        <v>144748.58903170211</v>
      </c>
      <c r="F603">
        <v>17425</v>
      </c>
      <c r="G603">
        <v>162173.58903170208</v>
      </c>
      <c r="H603">
        <v>11338991738.8743</v>
      </c>
      <c r="I603">
        <v>10722018732.093599</v>
      </c>
      <c r="J603">
        <v>3.3794450206572934E-4</v>
      </c>
      <c r="K603">
        <v>4648.6271346021304</v>
      </c>
      <c r="L603">
        <v>-2.6283321041971997E-2</v>
      </c>
      <c r="M603">
        <v>4774.1065086577501</v>
      </c>
      <c r="N603">
        <v>6.72858234593338</v>
      </c>
      <c r="O603">
        <v>93.966187960162003</v>
      </c>
      <c r="P603">
        <v>68.571863897019199</v>
      </c>
      <c r="Q603">
        <v>35.451578303747901</v>
      </c>
      <c r="R603">
        <v>2439213</v>
      </c>
      <c r="S603">
        <v>2.7339847534010024E-2</v>
      </c>
      <c r="T603">
        <v>58.46</v>
      </c>
      <c r="U603">
        <v>6.31</v>
      </c>
      <c r="V603">
        <v>67.715176999999997</v>
      </c>
      <c r="W603">
        <v>4.9581400000000002</v>
      </c>
      <c r="X603">
        <v>81.791650000000004</v>
      </c>
      <c r="Y603">
        <v>31.033300000000001</v>
      </c>
      <c r="Z603">
        <v>21.436703619300001</v>
      </c>
      <c r="AF603">
        <v>0</v>
      </c>
      <c r="AJ603">
        <v>0.45678591728210449</v>
      </c>
      <c r="AK603">
        <v>-7.049421314150095E-3</v>
      </c>
      <c r="AL603">
        <v>0.15754699999999999</v>
      </c>
      <c r="AM603">
        <f>VLOOKUP(D603,[1]Sheet1!$C$1:$D$191,2,FALSE)</f>
        <v>77</v>
      </c>
    </row>
    <row r="604" spans="1:39" x14ac:dyDescent="0.35">
      <c r="A604">
        <v>2017</v>
      </c>
      <c r="B604" t="s">
        <v>80</v>
      </c>
      <c r="C604">
        <v>77</v>
      </c>
      <c r="D604" t="s">
        <v>280</v>
      </c>
      <c r="E604">
        <v>49827</v>
      </c>
      <c r="G604">
        <v>49827</v>
      </c>
      <c r="H604">
        <v>11222512162.9739</v>
      </c>
      <c r="I604">
        <v>12895153370.9132</v>
      </c>
      <c r="J604">
        <v>-1.027248088567387E-2</v>
      </c>
      <c r="K604">
        <v>4476.7332440210503</v>
      </c>
      <c r="L604">
        <v>-3.6977345268581589E-2</v>
      </c>
      <c r="M604">
        <v>4648.6271346021304</v>
      </c>
      <c r="N604">
        <v>6.1457998111116403</v>
      </c>
      <c r="O604">
        <v>81.219666101143602</v>
      </c>
      <c r="P604">
        <v>65.085089864054297</v>
      </c>
      <c r="Q604">
        <v>38.562099425489599</v>
      </c>
      <c r="R604">
        <v>2506853</v>
      </c>
      <c r="S604">
        <v>2.7730255619332959E-2</v>
      </c>
      <c r="U604">
        <v>6.31</v>
      </c>
      <c r="V604">
        <v>70.426481999999993</v>
      </c>
      <c r="W604">
        <v>5.1090340000000003</v>
      </c>
      <c r="X604">
        <v>82.527850000000001</v>
      </c>
      <c r="Y604">
        <v>36.837400000000002</v>
      </c>
      <c r="Z604">
        <v>22.480175547100899</v>
      </c>
      <c r="AF604">
        <v>0</v>
      </c>
      <c r="AJ604">
        <v>0.27656388282775879</v>
      </c>
      <c r="AK604">
        <v>-0.1179206520318985</v>
      </c>
      <c r="AL604">
        <v>0.1265222</v>
      </c>
      <c r="AM604">
        <f>VLOOKUP(D604,[1]Sheet1!$C$1:$D$191,2,FALSE)</f>
        <v>77</v>
      </c>
    </row>
    <row r="605" spans="1:39" x14ac:dyDescent="0.35">
      <c r="A605">
        <v>2018</v>
      </c>
      <c r="B605" t="s">
        <v>80</v>
      </c>
      <c r="C605">
        <v>77</v>
      </c>
      <c r="D605" t="s">
        <v>280</v>
      </c>
      <c r="E605">
        <v>22408.744311999999</v>
      </c>
      <c r="F605">
        <v>60000</v>
      </c>
      <c r="G605">
        <v>82408.744311999995</v>
      </c>
      <c r="H605">
        <v>11341464002.125299</v>
      </c>
      <c r="I605">
        <v>13682019076.402201</v>
      </c>
      <c r="J605">
        <v>1.0599394986075745E-2</v>
      </c>
      <c r="K605">
        <v>4400.4753770574298</v>
      </c>
      <c r="L605">
        <v>-1.7034266463267049E-2</v>
      </c>
      <c r="M605">
        <v>4476.7332440210503</v>
      </c>
      <c r="N605">
        <v>4.2915910533787498</v>
      </c>
      <c r="O605">
        <v>81.713865296380405</v>
      </c>
      <c r="P605">
        <v>65.841548680074595</v>
      </c>
      <c r="Q605">
        <v>35.099232874985397</v>
      </c>
      <c r="R605">
        <v>2577327</v>
      </c>
      <c r="S605">
        <v>2.8112537911078154E-2</v>
      </c>
      <c r="T605">
        <v>50.645000000000003</v>
      </c>
      <c r="U605">
        <v>6.25</v>
      </c>
      <c r="V605">
        <v>72.444721000000001</v>
      </c>
      <c r="W605">
        <v>4.4028510000000001</v>
      </c>
      <c r="X605">
        <v>82.937640000000002</v>
      </c>
      <c r="Y605">
        <v>42.8</v>
      </c>
      <c r="Z605">
        <v>23.700169040403502</v>
      </c>
      <c r="AF605">
        <v>0</v>
      </c>
      <c r="AJ605">
        <v>0.32932418584823608</v>
      </c>
      <c r="AK605">
        <v>-6.8828527582809329E-4</v>
      </c>
      <c r="AL605">
        <v>7.9030699999999995E-2</v>
      </c>
      <c r="AM605">
        <f>VLOOKUP(D605,[1]Sheet1!$C$1:$D$191,2,FALSE)</f>
        <v>77</v>
      </c>
    </row>
    <row r="606" spans="1:39" x14ac:dyDescent="0.35">
      <c r="A606">
        <v>2019</v>
      </c>
      <c r="B606" t="s">
        <v>80</v>
      </c>
      <c r="C606">
        <v>77</v>
      </c>
      <c r="D606" t="s">
        <v>280</v>
      </c>
      <c r="E606">
        <v>15413.480172310001</v>
      </c>
      <c r="F606">
        <v>2414799.4154974702</v>
      </c>
      <c r="G606">
        <v>2430212.8956697802</v>
      </c>
      <c r="H606">
        <v>11246291861.587999</v>
      </c>
      <c r="I606">
        <v>12541928303.48</v>
      </c>
      <c r="J606">
        <v>-8.3915216341969266E-3</v>
      </c>
      <c r="K606">
        <v>4243.0927448196599</v>
      </c>
      <c r="L606">
        <v>-3.5764916003918359E-2</v>
      </c>
      <c r="M606">
        <v>4400.4753770574298</v>
      </c>
      <c r="N606">
        <v>3.7223941442269499</v>
      </c>
      <c r="O606">
        <v>82.901150742635494</v>
      </c>
      <c r="P606">
        <v>70.950579352356996</v>
      </c>
      <c r="Q606">
        <v>34.523974673911901</v>
      </c>
      <c r="R606">
        <v>2650494</v>
      </c>
      <c r="S606">
        <v>2.8388714354057518E-2</v>
      </c>
      <c r="U606">
        <v>6.43</v>
      </c>
      <c r="V606">
        <v>72.368140999999994</v>
      </c>
      <c r="W606">
        <v>4.5597729999999999</v>
      </c>
      <c r="X606">
        <v>83.318020000000004</v>
      </c>
      <c r="Y606">
        <v>49.8</v>
      </c>
      <c r="Z606">
        <v>25.896651120182401</v>
      </c>
      <c r="AF606">
        <v>0</v>
      </c>
      <c r="AJ606">
        <v>0.36168286204338068</v>
      </c>
      <c r="AK606">
        <v>-3.0194967985153198E-4</v>
      </c>
      <c r="AL606">
        <v>8.2939575000000001E-2</v>
      </c>
      <c r="AM606">
        <f>VLOOKUP(D606,[1]Sheet1!$C$1:$D$191,2,FALSE)</f>
        <v>77</v>
      </c>
    </row>
    <row r="607" spans="1:39" x14ac:dyDescent="0.35">
      <c r="A607">
        <v>2020</v>
      </c>
      <c r="B607" t="s">
        <v>80</v>
      </c>
      <c r="C607">
        <v>77</v>
      </c>
      <c r="D607" t="s">
        <v>280</v>
      </c>
      <c r="E607">
        <v>33749.123025180001</v>
      </c>
      <c r="F607">
        <v>8350640.9316205001</v>
      </c>
      <c r="G607">
        <v>8384390.0546456799</v>
      </c>
      <c r="H607">
        <v>10335184546.164301</v>
      </c>
      <c r="I607">
        <v>10583748541.525801</v>
      </c>
      <c r="J607">
        <v>-8.1014020144329443E-2</v>
      </c>
      <c r="K607">
        <v>3787.4994397328601</v>
      </c>
      <c r="L607">
        <v>-0.10737293113449572</v>
      </c>
      <c r="M607">
        <v>4243.0927448196599</v>
      </c>
      <c r="N607">
        <v>2.2093823693346901</v>
      </c>
      <c r="O607">
        <v>76.925242403646493</v>
      </c>
      <c r="P607">
        <v>72.767667716646599</v>
      </c>
      <c r="Q607">
        <v>40.315288713899299</v>
      </c>
      <c r="R607">
        <v>2728762</v>
      </c>
      <c r="S607">
        <v>2.9529589578395573E-2</v>
      </c>
      <c r="U607">
        <v>6.52</v>
      </c>
      <c r="V607">
        <v>72.781155999999996</v>
      </c>
      <c r="W607">
        <v>3.6135269999999999</v>
      </c>
      <c r="X607">
        <v>95.928340000000006</v>
      </c>
      <c r="Y607">
        <v>57.860799999999998</v>
      </c>
      <c r="Z607">
        <v>25.987048414502599</v>
      </c>
      <c r="AF607">
        <v>0</v>
      </c>
      <c r="AJ607">
        <v>0.33151495456695562</v>
      </c>
      <c r="AK607">
        <v>9.9775996059179306E-3</v>
      </c>
      <c r="AL607">
        <v>0.10328657500000001</v>
      </c>
      <c r="AM607">
        <f>VLOOKUP(D607,[1]Sheet1!$C$1:$D$191,2,FALSE)</f>
        <v>77</v>
      </c>
    </row>
    <row r="608" spans="1:39" x14ac:dyDescent="0.35">
      <c r="A608">
        <v>2013</v>
      </c>
      <c r="B608" t="s">
        <v>81</v>
      </c>
      <c r="C608">
        <v>78</v>
      </c>
      <c r="D608" t="s">
        <v>281</v>
      </c>
      <c r="E608">
        <v>11981</v>
      </c>
      <c r="G608">
        <v>11981</v>
      </c>
      <c r="H608">
        <v>22100664484.636101</v>
      </c>
      <c r="I608">
        <v>22162204924.572601</v>
      </c>
      <c r="J608">
        <v>3.5251531712914307E-2</v>
      </c>
      <c r="K608">
        <v>801.03906084785604</v>
      </c>
      <c r="L608">
        <v>3.3184743098002303E-2</v>
      </c>
      <c r="M608">
        <v>775.31057847983902</v>
      </c>
      <c r="N608">
        <v>9.0401631191763592</v>
      </c>
      <c r="O608">
        <v>41.865375737672203</v>
      </c>
      <c r="P608">
        <v>50.462270838435103</v>
      </c>
      <c r="Q608">
        <v>12.690435415529199</v>
      </c>
      <c r="R608">
        <v>27589996</v>
      </c>
      <c r="S608">
        <v>2.0004056667689003E-3</v>
      </c>
      <c r="U608">
        <v>4.7699999999999996</v>
      </c>
      <c r="V608">
        <v>8.5166723999999991</v>
      </c>
      <c r="W608">
        <v>4.3915179999999996</v>
      </c>
      <c r="X608">
        <v>22.5047</v>
      </c>
      <c r="Y608">
        <v>13.3</v>
      </c>
      <c r="Z608">
        <v>15.4719563352624</v>
      </c>
      <c r="AJ608">
        <v>-0.71927064657211304</v>
      </c>
      <c r="AK608">
        <v>-0.85815393924713135</v>
      </c>
      <c r="AL608">
        <v>0.24861792499999999</v>
      </c>
      <c r="AM608">
        <f>VLOOKUP(D608,[1]Sheet1!$C$1:$D$191,2,FALSE)</f>
        <v>78</v>
      </c>
    </row>
    <row r="609" spans="1:39" x14ac:dyDescent="0.35">
      <c r="A609">
        <v>2014</v>
      </c>
      <c r="B609" t="s">
        <v>81</v>
      </c>
      <c r="C609">
        <v>78</v>
      </c>
      <c r="D609" t="s">
        <v>281</v>
      </c>
      <c r="E609">
        <v>3980</v>
      </c>
      <c r="G609">
        <v>3980</v>
      </c>
      <c r="H609">
        <v>23429242138.209499</v>
      </c>
      <c r="I609">
        <v>22731612922.190601</v>
      </c>
      <c r="J609">
        <v>6.0114828425045626E-2</v>
      </c>
      <c r="K609">
        <v>846.66554177359899</v>
      </c>
      <c r="L609">
        <v>5.6959121166263504E-2</v>
      </c>
      <c r="M609">
        <v>801.03906084785604</v>
      </c>
      <c r="N609">
        <v>8.3641546965956302</v>
      </c>
      <c r="O609">
        <v>45.982641611592697</v>
      </c>
      <c r="P609">
        <v>54.467047603509897</v>
      </c>
      <c r="Q609">
        <v>13.5829915227027</v>
      </c>
      <c r="R609">
        <v>27672370</v>
      </c>
      <c r="S609">
        <v>2.9856474064004937E-3</v>
      </c>
      <c r="U609">
        <v>4.7699999999999996</v>
      </c>
      <c r="V609">
        <v>9.2976477000000006</v>
      </c>
      <c r="W609">
        <v>4.2431140000000003</v>
      </c>
      <c r="X609">
        <v>22.596540000000001</v>
      </c>
      <c r="Y609">
        <v>15.44</v>
      </c>
      <c r="Z609">
        <v>13.2380540463977</v>
      </c>
      <c r="AJ609">
        <v>-0.64944934844970703</v>
      </c>
      <c r="AK609">
        <v>-0.84778773784637451</v>
      </c>
      <c r="AL609">
        <v>0.15138027500000001</v>
      </c>
      <c r="AM609">
        <f>VLOOKUP(D609,[1]Sheet1!$C$1:$D$191,2,FALSE)</f>
        <v>78</v>
      </c>
    </row>
    <row r="610" spans="1:39" x14ac:dyDescent="0.35">
      <c r="A610">
        <v>2015</v>
      </c>
      <c r="B610" t="s">
        <v>81</v>
      </c>
      <c r="C610">
        <v>78</v>
      </c>
      <c r="D610" t="s">
        <v>281</v>
      </c>
      <c r="E610">
        <v>39657</v>
      </c>
      <c r="G610">
        <v>39657</v>
      </c>
      <c r="H610">
        <v>24360801286.763802</v>
      </c>
      <c r="I610">
        <v>24360801286.763802</v>
      </c>
      <c r="J610">
        <v>3.9760532716296107E-2</v>
      </c>
      <c r="K610">
        <v>875.54363547486196</v>
      </c>
      <c r="L610">
        <v>3.4108030002932443E-2</v>
      </c>
      <c r="M610">
        <v>846.66554177359899</v>
      </c>
      <c r="N610">
        <v>7.8689089559089904</v>
      </c>
      <c r="O610">
        <v>46.665730389515801</v>
      </c>
      <c r="P610">
        <v>56.908274065370399</v>
      </c>
      <c r="Q610">
        <v>13.9897984541113</v>
      </c>
      <c r="R610">
        <v>27823629</v>
      </c>
      <c r="S610">
        <v>5.466065971219668E-3</v>
      </c>
      <c r="U610">
        <v>4.7699999999999996</v>
      </c>
      <c r="V610">
        <v>9.5586698999999999</v>
      </c>
      <c r="W610">
        <v>4.2598269999999996</v>
      </c>
      <c r="X610">
        <v>19.276299999999999</v>
      </c>
      <c r="Y610">
        <v>17.581600000000002</v>
      </c>
      <c r="Z610">
        <v>12.282886814704</v>
      </c>
      <c r="AJ610">
        <v>-0.69381314516067505</v>
      </c>
      <c r="AK610">
        <v>-0.83164751529693604</v>
      </c>
      <c r="AL610">
        <v>9.1215049999999992E-2</v>
      </c>
      <c r="AM610">
        <f>VLOOKUP(D610,[1]Sheet1!$C$1:$D$191,2,FALSE)</f>
        <v>78</v>
      </c>
    </row>
    <row r="611" spans="1:39" x14ac:dyDescent="0.35">
      <c r="A611">
        <v>2016</v>
      </c>
      <c r="B611" t="s">
        <v>81</v>
      </c>
      <c r="C611">
        <v>78</v>
      </c>
      <c r="D611" t="s">
        <v>281</v>
      </c>
      <c r="E611">
        <v>210172.65615937221</v>
      </c>
      <c r="G611">
        <v>210172.65615937219</v>
      </c>
      <c r="H611">
        <v>24466311259.288101</v>
      </c>
      <c r="I611">
        <v>24524109483.529301</v>
      </c>
      <c r="J611">
        <v>4.3311371938174878E-3</v>
      </c>
      <c r="K611">
        <v>875.18894373085504</v>
      </c>
      <c r="L611">
        <v>-4.0511029905955775E-4</v>
      </c>
      <c r="M611">
        <v>875.54363547486196</v>
      </c>
      <c r="N611">
        <v>8.7903433200463308</v>
      </c>
      <c r="O611">
        <v>42.115486122164597</v>
      </c>
      <c r="P611">
        <v>69.8408001121159</v>
      </c>
      <c r="Q611">
        <v>14.227110736729299</v>
      </c>
      <c r="R611">
        <v>27955462</v>
      </c>
      <c r="S611">
        <v>4.7381669731148294E-3</v>
      </c>
      <c r="U611">
        <v>4.8600000000000003</v>
      </c>
      <c r="V611">
        <v>10.340809999999999</v>
      </c>
      <c r="W611">
        <v>4.0411799999999998</v>
      </c>
      <c r="X611">
        <v>18.117750000000001</v>
      </c>
      <c r="Y611">
        <v>20.7</v>
      </c>
      <c r="Z611">
        <v>11.0932748536215</v>
      </c>
      <c r="AJ611">
        <v>-0.81232476234436035</v>
      </c>
      <c r="AK611">
        <v>-0.78932750225067139</v>
      </c>
      <c r="AL611">
        <v>8.5946599999999998E-2</v>
      </c>
      <c r="AM611">
        <f>VLOOKUP(D611,[1]Sheet1!$C$1:$D$191,2,FALSE)</f>
        <v>78</v>
      </c>
    </row>
    <row r="612" spans="1:39" x14ac:dyDescent="0.35">
      <c r="A612">
        <v>2017</v>
      </c>
      <c r="B612" t="s">
        <v>81</v>
      </c>
      <c r="C612">
        <v>78</v>
      </c>
      <c r="D612" t="s">
        <v>281</v>
      </c>
      <c r="E612">
        <v>903450</v>
      </c>
      <c r="F612">
        <v>111400</v>
      </c>
      <c r="G612">
        <v>1014850</v>
      </c>
      <c r="H612">
        <v>26662720369.249199</v>
      </c>
      <c r="I612">
        <v>28971588940.363998</v>
      </c>
      <c r="J612">
        <v>8.9772793564345699E-2</v>
      </c>
      <c r="K612">
        <v>951.85729856364105</v>
      </c>
      <c r="L612">
        <v>8.7602060540156526E-2</v>
      </c>
      <c r="M612">
        <v>875.18894373085504</v>
      </c>
      <c r="N612">
        <v>3.6270961069660701</v>
      </c>
      <c r="O612">
        <v>44.642410621742698</v>
      </c>
      <c r="P612">
        <v>69.189124341353207</v>
      </c>
      <c r="Q612">
        <v>16.8538084482168</v>
      </c>
      <c r="R612">
        <v>28011258</v>
      </c>
      <c r="S612">
        <v>1.9958890323472384E-3</v>
      </c>
      <c r="T612">
        <v>44.005000000000003</v>
      </c>
      <c r="U612">
        <v>5.18</v>
      </c>
      <c r="V612">
        <v>10.967892000000001</v>
      </c>
      <c r="W612">
        <v>4.256532</v>
      </c>
      <c r="X612">
        <v>17.0471</v>
      </c>
      <c r="Y612">
        <v>24.3</v>
      </c>
      <c r="Z612">
        <v>11.4357824790838</v>
      </c>
      <c r="AJ612">
        <v>-0.6945222020149231</v>
      </c>
      <c r="AK612">
        <v>-0.73943185806274414</v>
      </c>
      <c r="AL612">
        <v>0.11090765</v>
      </c>
      <c r="AM612">
        <f>VLOOKUP(D612,[1]Sheet1!$C$1:$D$191,2,FALSE)</f>
        <v>78</v>
      </c>
    </row>
    <row r="613" spans="1:39" x14ac:dyDescent="0.35">
      <c r="A613">
        <v>2018</v>
      </c>
      <c r="B613" t="s">
        <v>81</v>
      </c>
      <c r="C613">
        <v>78</v>
      </c>
      <c r="D613" t="s">
        <v>281</v>
      </c>
      <c r="E613">
        <v>266078.38355500001</v>
      </c>
      <c r="F613">
        <v>113350</v>
      </c>
      <c r="G613">
        <v>379428.38355500001</v>
      </c>
      <c r="H613">
        <v>28695053195.345699</v>
      </c>
      <c r="I613">
        <v>33111525237.148998</v>
      </c>
      <c r="J613">
        <v>7.6223761039794058E-2</v>
      </c>
      <c r="K613">
        <v>1021.91492204011</v>
      </c>
      <c r="L613">
        <v>7.3600973152368923E-2</v>
      </c>
      <c r="M613">
        <v>951.85729856364105</v>
      </c>
      <c r="N613">
        <v>4.0611633875106996</v>
      </c>
      <c r="O613">
        <v>48.447386946377797</v>
      </c>
      <c r="P613">
        <v>76.324608007657702</v>
      </c>
      <c r="Q613">
        <v>20.165791696052398</v>
      </c>
      <c r="R613">
        <v>28079689</v>
      </c>
      <c r="S613">
        <v>2.4429820324385287E-3</v>
      </c>
      <c r="U613">
        <v>5.18</v>
      </c>
      <c r="V613">
        <v>14.275771000000001</v>
      </c>
      <c r="W613">
        <v>4.1803610000000004</v>
      </c>
      <c r="X613">
        <v>16.479579999999999</v>
      </c>
      <c r="Y613">
        <v>28.6</v>
      </c>
      <c r="Z613">
        <v>12.613695863565001</v>
      </c>
      <c r="AJ613">
        <v>-0.49145248532295233</v>
      </c>
      <c r="AK613">
        <v>-0.7757079005241394</v>
      </c>
      <c r="AL613">
        <v>9.6221249999999987E-3</v>
      </c>
      <c r="AM613">
        <f>VLOOKUP(D613,[1]Sheet1!$C$1:$D$191,2,FALSE)</f>
        <v>78</v>
      </c>
    </row>
    <row r="614" spans="1:39" x14ac:dyDescent="0.35">
      <c r="A614">
        <v>2019</v>
      </c>
      <c r="B614" t="s">
        <v>81</v>
      </c>
      <c r="C614">
        <v>78</v>
      </c>
      <c r="D614" t="s">
        <v>281</v>
      </c>
      <c r="E614">
        <v>76570.631855760003</v>
      </c>
      <c r="F614">
        <v>104975</v>
      </c>
      <c r="G614">
        <v>181545.63185576</v>
      </c>
      <c r="H614">
        <v>30605298792.5448</v>
      </c>
      <c r="I614">
        <v>34186180699.025501</v>
      </c>
      <c r="J614">
        <v>6.6570554311045499E-2</v>
      </c>
      <c r="K614">
        <v>1077.11796498188</v>
      </c>
      <c r="L614">
        <v>5.401921603372313E-2</v>
      </c>
      <c r="M614">
        <v>1021.91492204011</v>
      </c>
      <c r="N614">
        <v>5.5686854778492902</v>
      </c>
      <c r="O614">
        <v>49.249526586901197</v>
      </c>
      <c r="P614">
        <v>78.945910898405401</v>
      </c>
      <c r="Q614">
        <v>21.701865275392201</v>
      </c>
      <c r="R614">
        <v>28414064</v>
      </c>
      <c r="S614">
        <v>1.1908073483292496E-2</v>
      </c>
      <c r="U614">
        <v>5.28</v>
      </c>
      <c r="V614">
        <v>16.457383</v>
      </c>
      <c r="W614">
        <v>4.4339230000000001</v>
      </c>
      <c r="X614">
        <v>16.144400000000001</v>
      </c>
      <c r="Y614">
        <v>33.336599999999997</v>
      </c>
      <c r="Z614">
        <v>13.807282195391201</v>
      </c>
      <c r="AJ614">
        <v>-0.55387139320373535</v>
      </c>
      <c r="AK614">
        <v>-0.73573088645935059</v>
      </c>
      <c r="AL614">
        <v>0</v>
      </c>
      <c r="AM614">
        <f>VLOOKUP(D614,[1]Sheet1!$C$1:$D$191,2,FALSE)</f>
        <v>78</v>
      </c>
    </row>
    <row r="615" spans="1:39" x14ac:dyDescent="0.35">
      <c r="A615">
        <v>2020</v>
      </c>
      <c r="B615" t="s">
        <v>81</v>
      </c>
      <c r="C615">
        <v>78</v>
      </c>
      <c r="D615" t="s">
        <v>281</v>
      </c>
      <c r="E615">
        <v>352396.92443026998</v>
      </c>
      <c r="F615">
        <v>55675</v>
      </c>
      <c r="G615">
        <v>408071.92443026998</v>
      </c>
      <c r="H615">
        <v>29880069318.726101</v>
      </c>
      <c r="I615">
        <v>33433659301.246601</v>
      </c>
      <c r="J615">
        <v>-2.3696206292073804E-2</v>
      </c>
      <c r="K615">
        <v>1031.5361878393401</v>
      </c>
      <c r="L615">
        <v>-4.2318277685867753E-2</v>
      </c>
      <c r="M615">
        <v>1077.11796498188</v>
      </c>
      <c r="N615">
        <v>5.0523665528921198</v>
      </c>
      <c r="O615">
        <v>40.9188655950095</v>
      </c>
      <c r="P615">
        <v>88.440039466326795</v>
      </c>
      <c r="Q615">
        <v>20.164782930129299</v>
      </c>
      <c r="R615">
        <v>28966574</v>
      </c>
      <c r="S615">
        <v>1.9444948107387946E-2</v>
      </c>
      <c r="U615">
        <v>5.22</v>
      </c>
      <c r="V615">
        <v>19.795033</v>
      </c>
      <c r="W615">
        <v>3.5284659999999999</v>
      </c>
      <c r="X615">
        <v>17.344169999999998</v>
      </c>
      <c r="Y615">
        <v>38.857599999999998</v>
      </c>
      <c r="Z615">
        <v>14.2002391888535</v>
      </c>
      <c r="AJ615">
        <v>-0.51348656415939331</v>
      </c>
      <c r="AK615">
        <v>-0.73524016141891479</v>
      </c>
      <c r="AL615">
        <v>2.0354424999999999E-2</v>
      </c>
      <c r="AM615">
        <f>VLOOKUP(D615,[1]Sheet1!$C$1:$D$191,2,FALSE)</f>
        <v>78</v>
      </c>
    </row>
    <row r="616" spans="1:39" x14ac:dyDescent="0.35">
      <c r="A616">
        <v>2013</v>
      </c>
      <c r="B616" t="s">
        <v>82</v>
      </c>
      <c r="C616">
        <v>79</v>
      </c>
      <c r="D616" t="s">
        <v>282</v>
      </c>
      <c r="E616">
        <v>2579790.7250000001</v>
      </c>
      <c r="F616">
        <v>424699</v>
      </c>
      <c r="G616">
        <v>3004489.7249999996</v>
      </c>
      <c r="H616">
        <v>165480472114.228</v>
      </c>
      <c r="I616">
        <v>190909855416.34</v>
      </c>
      <c r="J616">
        <v>2.7601795895375116E-2</v>
      </c>
      <c r="K616">
        <v>37252.757055047798</v>
      </c>
      <c r="L616">
        <v>1.9736493209604272E-2</v>
      </c>
      <c r="M616">
        <v>36531.748449832703</v>
      </c>
      <c r="N616">
        <v>1.1344226644581701</v>
      </c>
      <c r="O616">
        <v>56.016185775589904</v>
      </c>
      <c r="Q616">
        <v>33.091543275901302</v>
      </c>
      <c r="R616">
        <v>4442100</v>
      </c>
      <c r="S616">
        <v>7.7130736598534514E-3</v>
      </c>
      <c r="U616">
        <v>9.26</v>
      </c>
      <c r="V616">
        <v>72.382637000000003</v>
      </c>
      <c r="W616">
        <v>2.0278269999999998</v>
      </c>
      <c r="X616">
        <v>70.570689999999999</v>
      </c>
      <c r="Y616">
        <v>82.78</v>
      </c>
      <c r="Z616">
        <v>80.388542175292997</v>
      </c>
      <c r="AF616">
        <v>0</v>
      </c>
      <c r="AJ616">
        <v>1.8701353073120119</v>
      </c>
      <c r="AK616">
        <v>1.81913685798645</v>
      </c>
      <c r="AL616">
        <v>3.7272924999999998E-2</v>
      </c>
      <c r="AM616">
        <f>VLOOKUP(D616,[1]Sheet1!$C$1:$D$191,2,FALSE)</f>
        <v>79</v>
      </c>
    </row>
    <row r="617" spans="1:39" x14ac:dyDescent="0.35">
      <c r="A617">
        <v>2014</v>
      </c>
      <c r="B617" t="s">
        <v>82</v>
      </c>
      <c r="C617">
        <v>79</v>
      </c>
      <c r="D617" t="s">
        <v>282</v>
      </c>
      <c r="E617">
        <v>8451257.9699999988</v>
      </c>
      <c r="F617">
        <v>13556729</v>
      </c>
      <c r="G617">
        <v>22007986.969999999</v>
      </c>
      <c r="H617">
        <v>171693137607.00201</v>
      </c>
      <c r="I617">
        <v>201337554959.48999</v>
      </c>
      <c r="J617">
        <v>3.7543194150942073E-2</v>
      </c>
      <c r="K617">
        <v>38014.643552972797</v>
      </c>
      <c r="L617">
        <v>2.0451815064296365E-2</v>
      </c>
      <c r="M617">
        <v>37252.757055047798</v>
      </c>
      <c r="N617">
        <v>1.2275075059739999</v>
      </c>
      <c r="O617">
        <v>55.148146469495103</v>
      </c>
      <c r="P617">
        <v>148.95992520393699</v>
      </c>
      <c r="Q617">
        <v>32.356416796113699</v>
      </c>
      <c r="R617">
        <v>4516500</v>
      </c>
      <c r="S617">
        <v>1.6748835010468022E-2</v>
      </c>
      <c r="T617">
        <v>19.989999999999998</v>
      </c>
      <c r="U617">
        <v>9.26</v>
      </c>
      <c r="V617">
        <v>70.610821999999999</v>
      </c>
      <c r="W617">
        <v>1.9612019999999999</v>
      </c>
      <c r="X617">
        <v>69.021090000000001</v>
      </c>
      <c r="Y617">
        <v>84</v>
      </c>
      <c r="Z617">
        <v>80.710006713867202</v>
      </c>
      <c r="AF617">
        <v>0</v>
      </c>
      <c r="AJ617">
        <v>2.004044771194458</v>
      </c>
      <c r="AK617">
        <v>1.9438380002975459</v>
      </c>
      <c r="AL617">
        <v>3.149325E-2</v>
      </c>
      <c r="AM617">
        <f>VLOOKUP(D617,[1]Sheet1!$C$1:$D$191,2,FALSE)</f>
        <v>79</v>
      </c>
    </row>
    <row r="618" spans="1:39" x14ac:dyDescent="0.35">
      <c r="A618">
        <v>2015</v>
      </c>
      <c r="B618" t="s">
        <v>82</v>
      </c>
      <c r="C618">
        <v>79</v>
      </c>
      <c r="D618" t="s">
        <v>282</v>
      </c>
      <c r="E618">
        <v>22798232.439999979</v>
      </c>
      <c r="F618">
        <v>244972000</v>
      </c>
      <c r="G618">
        <v>267770232.44</v>
      </c>
      <c r="H618">
        <v>178104220784.88101</v>
      </c>
      <c r="I618">
        <v>178104220784.88101</v>
      </c>
      <c r="J618">
        <v>3.7340357729111359E-2</v>
      </c>
      <c r="K618">
        <v>38639.350194142702</v>
      </c>
      <c r="L618">
        <v>1.6433315764210348E-2</v>
      </c>
      <c r="M618">
        <v>38014.643552972797</v>
      </c>
      <c r="N618">
        <v>0.29270462813610099</v>
      </c>
      <c r="O618">
        <v>54.888271984400802</v>
      </c>
      <c r="P618">
        <v>152.24053104753099</v>
      </c>
      <c r="Q618">
        <v>31.536873964846901</v>
      </c>
      <c r="R618">
        <v>4609400</v>
      </c>
      <c r="S618">
        <v>2.0569024687257832E-2</v>
      </c>
      <c r="T618">
        <v>19.04</v>
      </c>
      <c r="U618">
        <v>9.26</v>
      </c>
      <c r="V618">
        <v>69.072755000000001</v>
      </c>
      <c r="W618">
        <v>2.0653359999999998</v>
      </c>
      <c r="X618">
        <v>57.805979999999998</v>
      </c>
      <c r="Y618">
        <v>85.2</v>
      </c>
      <c r="Z618">
        <v>82.181846618652301</v>
      </c>
      <c r="AF618">
        <v>0</v>
      </c>
      <c r="AJ618">
        <v>1.965339779853821</v>
      </c>
      <c r="AK618">
        <v>1.910346150398254</v>
      </c>
      <c r="AL618">
        <v>4.6335250000000001E-2</v>
      </c>
      <c r="AM618">
        <f>VLOOKUP(D618,[1]Sheet1!$C$1:$D$191,2,FALSE)</f>
        <v>79</v>
      </c>
    </row>
    <row r="619" spans="1:39" x14ac:dyDescent="0.35">
      <c r="A619">
        <v>2016</v>
      </c>
      <c r="B619" t="s">
        <v>82</v>
      </c>
      <c r="C619">
        <v>79</v>
      </c>
      <c r="D619" t="s">
        <v>282</v>
      </c>
      <c r="E619">
        <v>32941145.603574269</v>
      </c>
      <c r="F619">
        <v>190307552</v>
      </c>
      <c r="G619">
        <v>223248697.60357428</v>
      </c>
      <c r="H619">
        <v>184780121689.70901</v>
      </c>
      <c r="I619">
        <v>188898209220.16699</v>
      </c>
      <c r="J619">
        <v>3.7483114523666074E-2</v>
      </c>
      <c r="K619">
        <v>39197.327525870998</v>
      </c>
      <c r="L619">
        <v>1.4440649983106582E-2</v>
      </c>
      <c r="M619">
        <v>38639.350194142702</v>
      </c>
      <c r="N619">
        <v>0.64624028445452397</v>
      </c>
      <c r="O619">
        <v>52.462254520797302</v>
      </c>
      <c r="P619">
        <v>154.945743229399</v>
      </c>
      <c r="Q619">
        <v>30.728221494193999</v>
      </c>
      <c r="R619">
        <v>4714100</v>
      </c>
      <c r="S619">
        <v>2.2714453074152818E-2</v>
      </c>
      <c r="T619">
        <v>18.95</v>
      </c>
      <c r="U619">
        <v>9.26</v>
      </c>
      <c r="V619">
        <v>65.736514999999997</v>
      </c>
      <c r="W619">
        <v>2.212513</v>
      </c>
      <c r="X619">
        <v>59.716430000000003</v>
      </c>
      <c r="Y619">
        <v>86.5</v>
      </c>
      <c r="Z619">
        <v>81.863357543945298</v>
      </c>
      <c r="AF619">
        <v>0</v>
      </c>
      <c r="AJ619">
        <v>1.9136335849761961</v>
      </c>
      <c r="AK619">
        <v>2.0274639129638672</v>
      </c>
      <c r="AL619">
        <v>6.6095925E-2</v>
      </c>
      <c r="AM619">
        <f>VLOOKUP(D619,[1]Sheet1!$C$1:$D$191,2,FALSE)</f>
        <v>79</v>
      </c>
    </row>
    <row r="620" spans="1:39" x14ac:dyDescent="0.35">
      <c r="A620">
        <v>2017</v>
      </c>
      <c r="B620" t="s">
        <v>82</v>
      </c>
      <c r="C620">
        <v>79</v>
      </c>
      <c r="D620" t="s">
        <v>282</v>
      </c>
      <c r="E620">
        <v>18298721</v>
      </c>
      <c r="F620">
        <v>243323212</v>
      </c>
      <c r="G620">
        <v>261621933</v>
      </c>
      <c r="H620">
        <v>191057624435.57199</v>
      </c>
      <c r="I620">
        <v>206566916732.29199</v>
      </c>
      <c r="J620">
        <v>3.3972825044484158E-2</v>
      </c>
      <c r="K620">
        <v>39691.213319671901</v>
      </c>
      <c r="L620">
        <v>1.2599986401494543E-2</v>
      </c>
      <c r="M620">
        <v>39197.327525870998</v>
      </c>
      <c r="N620">
        <v>1.85078767452536</v>
      </c>
      <c r="O620">
        <v>54.190228532904101</v>
      </c>
      <c r="P620">
        <v>153.215198792325</v>
      </c>
      <c r="Q620">
        <v>29.921310246144099</v>
      </c>
      <c r="R620">
        <v>4813600</v>
      </c>
      <c r="S620">
        <v>2.110689208968838E-2</v>
      </c>
      <c r="T620">
        <v>19.739999999999998</v>
      </c>
      <c r="U620">
        <v>9.26</v>
      </c>
      <c r="V620">
        <v>65.570513000000005</v>
      </c>
      <c r="W620">
        <v>2.0633819999999998</v>
      </c>
      <c r="X620">
        <v>57.671300000000002</v>
      </c>
      <c r="Y620">
        <v>87.7</v>
      </c>
      <c r="Z620">
        <v>81.269859313964801</v>
      </c>
      <c r="AF620">
        <v>0</v>
      </c>
      <c r="AJ620">
        <v>1.8844755887985229</v>
      </c>
      <c r="AK620">
        <v>2.0817992687225342</v>
      </c>
      <c r="AL620">
        <v>0.1285461</v>
      </c>
      <c r="AM620">
        <f>VLOOKUP(D620,[1]Sheet1!$C$1:$D$191,2,FALSE)</f>
        <v>79</v>
      </c>
    </row>
    <row r="621" spans="1:39" x14ac:dyDescent="0.35">
      <c r="A621">
        <v>2018</v>
      </c>
      <c r="B621" t="s">
        <v>82</v>
      </c>
      <c r="C621">
        <v>79</v>
      </c>
      <c r="D621" t="s">
        <v>282</v>
      </c>
      <c r="E621">
        <v>28553573.348480001</v>
      </c>
      <c r="F621">
        <v>247651659.028456</v>
      </c>
      <c r="G621">
        <v>276205232.37693596</v>
      </c>
      <c r="H621">
        <v>197743680329.155</v>
      </c>
      <c r="I621">
        <v>211846555690.73599</v>
      </c>
      <c r="J621">
        <v>3.4994970304562036E-2</v>
      </c>
      <c r="K621">
        <v>40350.912200374398</v>
      </c>
      <c r="L621">
        <v>1.662077889605695E-2</v>
      </c>
      <c r="M621">
        <v>39691.213319671901</v>
      </c>
      <c r="N621">
        <v>1.5982970380169601</v>
      </c>
      <c r="O621">
        <v>55.7991723633371</v>
      </c>
      <c r="P621">
        <v>153.252904468389</v>
      </c>
      <c r="Q621">
        <v>29.704167251847799</v>
      </c>
      <c r="R621">
        <v>4900600</v>
      </c>
      <c r="S621">
        <v>1.8073790925710487E-2</v>
      </c>
      <c r="T621">
        <v>19.8</v>
      </c>
      <c r="U621">
        <v>9.26</v>
      </c>
      <c r="V621">
        <v>64.381540999999999</v>
      </c>
      <c r="W621">
        <v>2.0468860000000002</v>
      </c>
      <c r="X621">
        <v>57.441760000000002</v>
      </c>
      <c r="Y621">
        <v>89</v>
      </c>
      <c r="Z621">
        <v>81.251312255859403</v>
      </c>
      <c r="AF621">
        <v>0</v>
      </c>
      <c r="AJ621">
        <v>1.83380126953125</v>
      </c>
      <c r="AK621">
        <v>2.0008597373962398</v>
      </c>
      <c r="AL621">
        <v>0.1185852</v>
      </c>
      <c r="AM621">
        <f>VLOOKUP(D621,[1]Sheet1!$C$1:$D$191,2,FALSE)</f>
        <v>79</v>
      </c>
    </row>
    <row r="622" spans="1:39" x14ac:dyDescent="0.35">
      <c r="A622">
        <v>2019</v>
      </c>
      <c r="B622" t="s">
        <v>82</v>
      </c>
      <c r="C622">
        <v>79</v>
      </c>
      <c r="D622" t="s">
        <v>282</v>
      </c>
      <c r="E622">
        <v>16181153.875281321</v>
      </c>
      <c r="F622">
        <v>283615742.83399498</v>
      </c>
      <c r="G622">
        <v>299796896.70927632</v>
      </c>
      <c r="H622">
        <v>202414311267.63</v>
      </c>
      <c r="I622">
        <v>212846907683.439</v>
      </c>
      <c r="J622">
        <v>2.3619621778559443E-2</v>
      </c>
      <c r="K622">
        <v>40651.974467310101</v>
      </c>
      <c r="L622">
        <v>7.4611018814318177E-3</v>
      </c>
      <c r="M622">
        <v>40350.912200374398</v>
      </c>
      <c r="N622">
        <v>1.6196319018404799</v>
      </c>
      <c r="O622">
        <v>54.464443240733601</v>
      </c>
      <c r="P622">
        <v>155.506977652248</v>
      </c>
      <c r="Q622">
        <v>30.086221465604002</v>
      </c>
      <c r="R622">
        <v>4979200</v>
      </c>
      <c r="S622">
        <v>1.6038852385422193E-2</v>
      </c>
      <c r="T622">
        <v>59.81</v>
      </c>
      <c r="U622">
        <v>9.26</v>
      </c>
      <c r="V622">
        <v>62.747506999999999</v>
      </c>
      <c r="W622">
        <v>2.064918</v>
      </c>
      <c r="X622">
        <v>57.425310000000003</v>
      </c>
      <c r="Y622">
        <v>89.863699999999994</v>
      </c>
      <c r="Z622">
        <v>77.584373474121094</v>
      </c>
      <c r="AF622">
        <v>0</v>
      </c>
      <c r="AJ622">
        <v>1.8437789678573611</v>
      </c>
      <c r="AK622">
        <v>1.8710173368453979</v>
      </c>
      <c r="AL622">
        <v>0.102832125</v>
      </c>
      <c r="AM622">
        <f>VLOOKUP(D622,[1]Sheet1!$C$1:$D$191,2,FALSE)</f>
        <v>79</v>
      </c>
    </row>
    <row r="623" spans="1:39" x14ac:dyDescent="0.35">
      <c r="A623">
        <v>2020</v>
      </c>
      <c r="B623" t="s">
        <v>82</v>
      </c>
      <c r="C623">
        <v>79</v>
      </c>
      <c r="D623" t="s">
        <v>282</v>
      </c>
      <c r="E623">
        <v>32179202.051328499</v>
      </c>
      <c r="F623">
        <v>190702373.35880521</v>
      </c>
      <c r="G623">
        <v>222881575.41013369</v>
      </c>
      <c r="H623">
        <v>201554239788.00201</v>
      </c>
      <c r="I623">
        <v>212697530897.56</v>
      </c>
      <c r="J623">
        <v>-4.2490645757295963E-3</v>
      </c>
      <c r="K623">
        <v>39596.526617422103</v>
      </c>
      <c r="L623">
        <v>-2.5963015664509145E-2</v>
      </c>
      <c r="M623">
        <v>40651.974467310101</v>
      </c>
      <c r="N623">
        <v>1.71456170007245</v>
      </c>
      <c r="O623">
        <v>43.9821702968365</v>
      </c>
      <c r="P623">
        <v>159.767571841386</v>
      </c>
      <c r="Q623">
        <v>36.402848240201003</v>
      </c>
      <c r="R623">
        <v>5090200</v>
      </c>
      <c r="S623">
        <v>2.2292737789203085E-2</v>
      </c>
      <c r="T623">
        <v>59.41</v>
      </c>
      <c r="U623">
        <v>9.25</v>
      </c>
      <c r="V623">
        <v>54.033769999999997</v>
      </c>
      <c r="W623">
        <v>2.013439</v>
      </c>
      <c r="X623">
        <v>58.074379999999998</v>
      </c>
      <c r="Y623">
        <v>95.234200000000001</v>
      </c>
      <c r="Z623">
        <v>75.734832763671903</v>
      </c>
      <c r="AF623">
        <v>0</v>
      </c>
      <c r="AJ623">
        <v>1.8383927345275879</v>
      </c>
      <c r="AK623">
        <v>1.8744479417800901</v>
      </c>
      <c r="AL623">
        <v>5.1904174999999997E-2</v>
      </c>
      <c r="AM623">
        <f>VLOOKUP(D623,[1]Sheet1!$C$1:$D$191,2,FALSE)</f>
        <v>79</v>
      </c>
    </row>
    <row r="624" spans="1:39" x14ac:dyDescent="0.35">
      <c r="A624">
        <v>2013</v>
      </c>
      <c r="B624" t="s">
        <v>83</v>
      </c>
      <c r="C624">
        <v>80</v>
      </c>
      <c r="D624" t="s">
        <v>283</v>
      </c>
      <c r="E624">
        <v>28433</v>
      </c>
      <c r="G624">
        <v>28433</v>
      </c>
      <c r="H624">
        <v>11617340945.6672</v>
      </c>
      <c r="I624">
        <v>10982954744.4415</v>
      </c>
      <c r="J624">
        <v>4.9261150465253305E-2</v>
      </c>
      <c r="K624">
        <v>1941.45084735102</v>
      </c>
      <c r="L624">
        <v>3.4784688915840599E-2</v>
      </c>
      <c r="M624">
        <v>1876.1882236439999</v>
      </c>
      <c r="N624">
        <v>7.1354678528940703</v>
      </c>
      <c r="O624">
        <v>110.98483034961301</v>
      </c>
      <c r="P624">
        <v>31.872043242298901</v>
      </c>
      <c r="Q624">
        <v>15.0907452883486</v>
      </c>
      <c r="R624">
        <v>5983845</v>
      </c>
      <c r="S624">
        <v>1.3989829676136748E-2</v>
      </c>
      <c r="U624">
        <v>5.46</v>
      </c>
      <c r="V624">
        <v>14.359567</v>
      </c>
      <c r="W624">
        <v>7.7505030000000001</v>
      </c>
      <c r="X624">
        <v>84.205759999999998</v>
      </c>
      <c r="Y624">
        <v>15.5</v>
      </c>
      <c r="AJ624">
        <v>-0.67432659864425659</v>
      </c>
      <c r="AK624">
        <v>-0.30805200338363647</v>
      </c>
      <c r="AL624">
        <v>8.0780199999999996E-2</v>
      </c>
      <c r="AM624">
        <f>VLOOKUP(D624,[1]Sheet1!$C$1:$D$191,2,FALSE)</f>
        <v>80</v>
      </c>
    </row>
    <row r="625" spans="1:39" x14ac:dyDescent="0.35">
      <c r="A625">
        <v>2014</v>
      </c>
      <c r="B625" t="s">
        <v>83</v>
      </c>
      <c r="C625">
        <v>80</v>
      </c>
      <c r="D625" t="s">
        <v>283</v>
      </c>
      <c r="E625">
        <v>18488</v>
      </c>
      <c r="G625">
        <v>18488</v>
      </c>
      <c r="H625">
        <v>12173404097.2463</v>
      </c>
      <c r="I625">
        <v>11880433902.9361</v>
      </c>
      <c r="J625">
        <v>4.7864924872200537E-2</v>
      </c>
      <c r="K625">
        <v>2006.66284522362</v>
      </c>
      <c r="L625">
        <v>3.3589311808525792E-2</v>
      </c>
      <c r="M625">
        <v>1941.45084735102</v>
      </c>
      <c r="N625">
        <v>6.03596861798425</v>
      </c>
      <c r="O625">
        <v>106.698054169382</v>
      </c>
      <c r="P625">
        <v>33.861118025385302</v>
      </c>
      <c r="Q625">
        <v>15.4277807861718</v>
      </c>
      <c r="R625">
        <v>6066492</v>
      </c>
      <c r="S625">
        <v>1.3811687969858846E-2</v>
      </c>
      <c r="T625">
        <v>62.598999999999997</v>
      </c>
      <c r="U625">
        <v>5.32</v>
      </c>
      <c r="V625">
        <v>15.952152999999999</v>
      </c>
      <c r="W625">
        <v>8.1111799999999992</v>
      </c>
      <c r="X625">
        <v>84.939480000000003</v>
      </c>
      <c r="Y625">
        <v>17.600000000000001</v>
      </c>
      <c r="AJ625">
        <v>-0.71416640281677246</v>
      </c>
      <c r="AK625">
        <v>-0.40889206528663641</v>
      </c>
      <c r="AL625">
        <v>2.2675125000000001E-2</v>
      </c>
      <c r="AM625">
        <f>VLOOKUP(D625,[1]Sheet1!$C$1:$D$191,2,FALSE)</f>
        <v>80</v>
      </c>
    </row>
    <row r="626" spans="1:39" x14ac:dyDescent="0.35">
      <c r="A626">
        <v>2015</v>
      </c>
      <c r="B626" t="s">
        <v>83</v>
      </c>
      <c r="C626">
        <v>80</v>
      </c>
      <c r="D626" t="s">
        <v>283</v>
      </c>
      <c r="E626">
        <v>47289</v>
      </c>
      <c r="G626">
        <v>47289</v>
      </c>
      <c r="H626">
        <v>12756685550.3389</v>
      </c>
      <c r="I626">
        <v>12756685550.3389</v>
      </c>
      <c r="J626">
        <v>4.7914408199473291E-2</v>
      </c>
      <c r="K626">
        <v>2074.4544646002801</v>
      </c>
      <c r="L626">
        <v>3.3783263360868884E-2</v>
      </c>
      <c r="M626">
        <v>2006.66284522362</v>
      </c>
      <c r="N626">
        <v>3.99737996694396</v>
      </c>
      <c r="O626">
        <v>98.193594031756604</v>
      </c>
      <c r="P626">
        <v>36.851247267891097</v>
      </c>
      <c r="Q626">
        <v>15.9243286883013</v>
      </c>
      <c r="R626">
        <v>6149417</v>
      </c>
      <c r="S626">
        <v>1.3669349601054448E-2</v>
      </c>
      <c r="U626">
        <v>5.26</v>
      </c>
      <c r="V626">
        <v>18.214424999999999</v>
      </c>
      <c r="W626">
        <v>7.9926909999999998</v>
      </c>
      <c r="X626">
        <v>94.667079999999999</v>
      </c>
      <c r="Y626">
        <v>19.7043</v>
      </c>
      <c r="AJ626">
        <v>-0.75473779439926147</v>
      </c>
      <c r="AK626">
        <v>-0.41996586322784418</v>
      </c>
      <c r="AL626">
        <v>9.3982249999999996E-3</v>
      </c>
      <c r="AM626">
        <f>VLOOKUP(D626,[1]Sheet1!$C$1:$D$191,2,FALSE)</f>
        <v>80</v>
      </c>
    </row>
    <row r="627" spans="1:39" x14ac:dyDescent="0.35">
      <c r="A627">
        <v>2016</v>
      </c>
      <c r="B627" t="s">
        <v>83</v>
      </c>
      <c r="C627">
        <v>80</v>
      </c>
      <c r="D627" t="s">
        <v>283</v>
      </c>
      <c r="E627">
        <v>92201.194166678702</v>
      </c>
      <c r="F627">
        <v>2020800</v>
      </c>
      <c r="G627">
        <v>2113001.1941666789</v>
      </c>
      <c r="H627">
        <v>13338767298.681499</v>
      </c>
      <c r="I627">
        <v>13286101094.386299</v>
      </c>
      <c r="J627">
        <v>4.5629544292336656E-2</v>
      </c>
      <c r="K627">
        <v>2140.1383129918299</v>
      </c>
      <c r="L627">
        <v>3.1663191220833227E-2</v>
      </c>
      <c r="M627">
        <v>2074.4544646002801</v>
      </c>
      <c r="N627">
        <v>3.5231731762847298</v>
      </c>
      <c r="O627">
        <v>93.813722679948796</v>
      </c>
      <c r="P627">
        <v>38.5800094922498</v>
      </c>
      <c r="Q627">
        <v>16.393783834133298</v>
      </c>
      <c r="R627">
        <v>6232666</v>
      </c>
      <c r="S627">
        <v>1.3537706094740363E-2</v>
      </c>
      <c r="U627">
        <v>4.8099999999999996</v>
      </c>
      <c r="V627">
        <v>17.884323999999999</v>
      </c>
      <c r="W627">
        <v>8.4151629999999997</v>
      </c>
      <c r="X627">
        <v>83.206760000000003</v>
      </c>
      <c r="Y627">
        <v>24.5718</v>
      </c>
      <c r="AJ627">
        <v>-0.6568792462348938</v>
      </c>
      <c r="AK627">
        <v>-0.52895122766494751</v>
      </c>
      <c r="AL627">
        <v>3.6609049999999997E-2</v>
      </c>
      <c r="AM627">
        <f>VLOOKUP(D627,[1]Sheet1!$C$1:$D$191,2,FALSE)</f>
        <v>80</v>
      </c>
    </row>
    <row r="628" spans="1:39" x14ac:dyDescent="0.35">
      <c r="A628">
        <v>2017</v>
      </c>
      <c r="B628" t="s">
        <v>83</v>
      </c>
      <c r="C628">
        <v>80</v>
      </c>
      <c r="D628" t="s">
        <v>283</v>
      </c>
      <c r="E628">
        <v>143860.489665</v>
      </c>
      <c r="F628">
        <v>2723900</v>
      </c>
      <c r="G628">
        <v>2867760.4896649998</v>
      </c>
      <c r="H628">
        <v>13956690226.427401</v>
      </c>
      <c r="I628">
        <v>13785924216.2724</v>
      </c>
      <c r="J628">
        <v>4.6325339809097733E-2</v>
      </c>
      <c r="K628">
        <v>2209.6548125658201</v>
      </c>
      <c r="L628">
        <v>3.2482246195017543E-2</v>
      </c>
      <c r="M628">
        <v>2140.1383129918299</v>
      </c>
      <c r="N628">
        <v>3.8506716628472701</v>
      </c>
      <c r="O628">
        <v>96.3799845515111</v>
      </c>
      <c r="P628">
        <v>42.714062329059601</v>
      </c>
      <c r="Q628">
        <v>16.522227933694602</v>
      </c>
      <c r="R628">
        <v>6316231</v>
      </c>
      <c r="S628">
        <v>1.340758513291102E-2</v>
      </c>
      <c r="U628">
        <v>4.66</v>
      </c>
      <c r="V628">
        <v>17.567297</v>
      </c>
      <c r="W628">
        <v>7.415959</v>
      </c>
      <c r="X628">
        <v>92.674099999999996</v>
      </c>
      <c r="Y628">
        <v>30.4</v>
      </c>
      <c r="AJ628">
        <v>-0.66067022085189819</v>
      </c>
      <c r="AK628">
        <v>-0.69578158855438232</v>
      </c>
      <c r="AL628">
        <v>9.6606725000000004E-2</v>
      </c>
      <c r="AM628">
        <f>VLOOKUP(D628,[1]Sheet1!$C$1:$D$191,2,FALSE)</f>
        <v>80</v>
      </c>
    </row>
    <row r="629" spans="1:39" x14ac:dyDescent="0.35">
      <c r="A629">
        <v>2018</v>
      </c>
      <c r="B629" t="s">
        <v>83</v>
      </c>
      <c r="C629">
        <v>80</v>
      </c>
      <c r="D629" t="s">
        <v>283</v>
      </c>
      <c r="E629">
        <v>45754.927499999998</v>
      </c>
      <c r="F629">
        <v>16288017.800000001</v>
      </c>
      <c r="G629">
        <v>16333772.727499999</v>
      </c>
      <c r="H629">
        <v>13487230761.4818</v>
      </c>
      <c r="I629">
        <v>13025234820.8225</v>
      </c>
      <c r="J629">
        <v>-3.3636876460628559E-2</v>
      </c>
      <c r="K629">
        <v>2107.3534645632199</v>
      </c>
      <c r="L629">
        <v>-4.6297434070170139E-2</v>
      </c>
      <c r="M629">
        <v>2209.6548125658201</v>
      </c>
      <c r="N629">
        <v>4.94723728039886</v>
      </c>
      <c r="O629">
        <v>93.984982529903505</v>
      </c>
      <c r="P629">
        <v>39.857018744936802</v>
      </c>
      <c r="Q629">
        <v>16.847237386407802</v>
      </c>
      <c r="R629">
        <v>6400080</v>
      </c>
      <c r="S629">
        <v>1.3275163622103119E-2</v>
      </c>
      <c r="U629">
        <v>3.63</v>
      </c>
      <c r="V629">
        <v>22.159133000000001</v>
      </c>
      <c r="W629">
        <v>8.4441930000000003</v>
      </c>
      <c r="X629">
        <v>82.251559999999998</v>
      </c>
      <c r="Y629">
        <v>33.912999999999997</v>
      </c>
      <c r="AJ629">
        <v>-1.078462958335876</v>
      </c>
      <c r="AK629">
        <v>-0.73135685920715332</v>
      </c>
      <c r="AL629">
        <v>9.2301999999999995E-2</v>
      </c>
      <c r="AM629">
        <f>VLOOKUP(D629,[1]Sheet1!$C$1:$D$191,2,FALSE)</f>
        <v>80</v>
      </c>
    </row>
    <row r="630" spans="1:39" x14ac:dyDescent="0.35">
      <c r="A630">
        <v>2019</v>
      </c>
      <c r="B630" t="s">
        <v>83</v>
      </c>
      <c r="C630">
        <v>80</v>
      </c>
      <c r="D630" t="s">
        <v>283</v>
      </c>
      <c r="E630">
        <v>2343.0249905700002</v>
      </c>
      <c r="F630">
        <v>2045541.8807486</v>
      </c>
      <c r="G630">
        <v>2047884.90573917</v>
      </c>
      <c r="H630">
        <v>13096501920.7484</v>
      </c>
      <c r="I630">
        <v>12699028889.666</v>
      </c>
      <c r="J630">
        <v>-2.8970279195435978E-2</v>
      </c>
      <c r="K630">
        <v>2019.9251627204101</v>
      </c>
      <c r="L630">
        <v>-4.1487250863694383E-2</v>
      </c>
      <c r="M630">
        <v>2107.3534645632199</v>
      </c>
      <c r="N630">
        <v>5.3762899084412599</v>
      </c>
      <c r="O630">
        <v>94.042281046279996</v>
      </c>
      <c r="P630">
        <v>32.217299804802501</v>
      </c>
      <c r="Q630">
        <v>16.4517768112133</v>
      </c>
      <c r="R630">
        <v>6483657</v>
      </c>
      <c r="S630">
        <v>1.3058743015712304E-2</v>
      </c>
      <c r="U630">
        <v>3.55</v>
      </c>
      <c r="V630">
        <v>22.084993000000001</v>
      </c>
      <c r="W630">
        <v>7.2078100000000003</v>
      </c>
      <c r="X630">
        <v>83.236379999999997</v>
      </c>
      <c r="Y630">
        <v>37.831899999999997</v>
      </c>
      <c r="AJ630">
        <v>-1.2015854120254521</v>
      </c>
      <c r="AK630">
        <v>-0.71443265676498413</v>
      </c>
      <c r="AL630">
        <v>0.134629525</v>
      </c>
      <c r="AM630">
        <f>VLOOKUP(D630,[1]Sheet1!$C$1:$D$191,2,FALSE)</f>
        <v>80</v>
      </c>
    </row>
    <row r="631" spans="1:39" x14ac:dyDescent="0.35">
      <c r="A631">
        <v>2020</v>
      </c>
      <c r="B631" t="s">
        <v>83</v>
      </c>
      <c r="C631">
        <v>80</v>
      </c>
      <c r="D631" t="s">
        <v>283</v>
      </c>
      <c r="E631">
        <v>57246.38</v>
      </c>
      <c r="F631">
        <v>4119965.0666999999</v>
      </c>
      <c r="G631">
        <v>4177211.4466999997</v>
      </c>
      <c r="H631">
        <v>12866533516.501699</v>
      </c>
      <c r="I631">
        <v>12681569254.2815</v>
      </c>
      <c r="J631">
        <v>-1.755952892141131E-2</v>
      </c>
      <c r="K631">
        <v>1959.7883096760099</v>
      </c>
      <c r="L631">
        <v>-2.9771822320094558E-2</v>
      </c>
      <c r="M631">
        <v>2019.9251627204101</v>
      </c>
      <c r="N631">
        <v>3.6818134162557201</v>
      </c>
      <c r="O631">
        <v>88.905931409467499</v>
      </c>
      <c r="P631">
        <v>29.898193948930501</v>
      </c>
      <c r="Q631">
        <v>16.474371474528699</v>
      </c>
      <c r="R631">
        <v>6565267</v>
      </c>
      <c r="S631">
        <v>1.2587032287488373E-2</v>
      </c>
      <c r="U631">
        <v>3.6</v>
      </c>
      <c r="V631">
        <v>21.497699999999998</v>
      </c>
      <c r="W631">
        <v>6.5219550000000002</v>
      </c>
      <c r="X631">
        <v>84.098079999999996</v>
      </c>
      <c r="Y631">
        <v>42.203699999999998</v>
      </c>
      <c r="AJ631">
        <v>-1.198743939399719</v>
      </c>
      <c r="AK631">
        <v>-0.67982602119445801</v>
      </c>
      <c r="AL631">
        <v>7.4375924999999996E-2</v>
      </c>
      <c r="AM631">
        <f>VLOOKUP(D631,[1]Sheet1!$C$1:$D$191,2,FALSE)</f>
        <v>80</v>
      </c>
    </row>
    <row r="632" spans="1:39" x14ac:dyDescent="0.35">
      <c r="A632">
        <v>2013</v>
      </c>
      <c r="B632" t="s">
        <v>84</v>
      </c>
      <c r="C632">
        <v>81</v>
      </c>
      <c r="D632" t="s">
        <v>284</v>
      </c>
      <c r="E632">
        <v>3275</v>
      </c>
      <c r="G632">
        <v>3275</v>
      </c>
      <c r="H632">
        <v>8698614858.5984192</v>
      </c>
      <c r="I632">
        <v>10224897437.864799</v>
      </c>
      <c r="J632">
        <v>5.3151306339472841E-2</v>
      </c>
      <c r="K632">
        <v>469.69021420087802</v>
      </c>
      <c r="L632">
        <v>1.4304537380573796E-2</v>
      </c>
      <c r="M632">
        <v>463.06626549640202</v>
      </c>
      <c r="N632">
        <v>2.2972311495532698</v>
      </c>
      <c r="O632">
        <v>46.295149149329099</v>
      </c>
      <c r="P632">
        <v>10.460630408421</v>
      </c>
      <c r="R632">
        <v>18519898</v>
      </c>
      <c r="S632">
        <v>3.8298920617293411E-2</v>
      </c>
      <c r="U632">
        <v>4.08</v>
      </c>
      <c r="V632">
        <v>1.2495514999999999</v>
      </c>
      <c r="W632">
        <v>5.3354819999999998</v>
      </c>
      <c r="X632">
        <v>100</v>
      </c>
      <c r="Y632">
        <v>1.1499999999999999</v>
      </c>
      <c r="AJ632">
        <v>-0.66636228561401367</v>
      </c>
      <c r="AK632">
        <v>-0.5828433632850647</v>
      </c>
      <c r="AL632">
        <v>7.2616200000000006E-2</v>
      </c>
      <c r="AM632">
        <f>VLOOKUP(D632,[1]Sheet1!$C$1:$D$191,2,FALSE)</f>
        <v>81</v>
      </c>
    </row>
    <row r="633" spans="1:39" x14ac:dyDescent="0.35">
      <c r="A633">
        <v>2014</v>
      </c>
      <c r="B633" t="s">
        <v>84</v>
      </c>
      <c r="C633">
        <v>81</v>
      </c>
      <c r="D633" t="s">
        <v>284</v>
      </c>
      <c r="E633">
        <v>277749.56831765588</v>
      </c>
      <c r="G633">
        <v>277749.56831765594</v>
      </c>
      <c r="H633">
        <v>9276388744.5948391</v>
      </c>
      <c r="I633">
        <v>10862943543.541901</v>
      </c>
      <c r="J633">
        <v>6.6421366549560601E-2</v>
      </c>
      <c r="K633">
        <v>482.74524741945999</v>
      </c>
      <c r="L633">
        <v>2.7794986618559964E-2</v>
      </c>
      <c r="M633">
        <v>469.69021420087802</v>
      </c>
      <c r="N633">
        <v>-0.93028725998446604</v>
      </c>
      <c r="O633">
        <v>45.7416008365932</v>
      </c>
      <c r="P633">
        <v>10.6800359863882</v>
      </c>
      <c r="R633">
        <v>19215909</v>
      </c>
      <c r="S633">
        <v>3.7581794456967313E-2</v>
      </c>
      <c r="T633">
        <v>69.088999999999999</v>
      </c>
      <c r="U633">
        <v>4.0199999999999996</v>
      </c>
      <c r="V633">
        <v>1.2637181</v>
      </c>
      <c r="W633">
        <v>4.3718209999999997</v>
      </c>
      <c r="X633">
        <v>100</v>
      </c>
      <c r="Y633">
        <v>1.24868</v>
      </c>
      <c r="AJ633">
        <v>-0.65092307329177856</v>
      </c>
      <c r="AK633">
        <v>-0.74380731582641602</v>
      </c>
      <c r="AL633">
        <v>7.0400724999999997E-2</v>
      </c>
      <c r="AM633">
        <f>VLOOKUP(D633,[1]Sheet1!$C$1:$D$191,2,FALSE)</f>
        <v>81</v>
      </c>
    </row>
    <row r="634" spans="1:39" x14ac:dyDescent="0.35">
      <c r="A634">
        <v>2015</v>
      </c>
      <c r="B634" t="s">
        <v>84</v>
      </c>
      <c r="C634">
        <v>81</v>
      </c>
      <c r="D634" t="s">
        <v>284</v>
      </c>
      <c r="E634">
        <v>340</v>
      </c>
      <c r="G634">
        <v>340</v>
      </c>
      <c r="H634">
        <v>9683867926.4428196</v>
      </c>
      <c r="I634">
        <v>9683867926.4428196</v>
      </c>
      <c r="J634">
        <v>4.3926488320728284E-2</v>
      </c>
      <c r="K634">
        <v>485.66257417527902</v>
      </c>
      <c r="L634">
        <v>6.0432014015958857E-3</v>
      </c>
      <c r="M634">
        <v>482.74524741945999</v>
      </c>
      <c r="N634">
        <v>-0.57609036983318895</v>
      </c>
      <c r="O634">
        <v>44.727430371186003</v>
      </c>
      <c r="P634">
        <v>11.273154737693099</v>
      </c>
      <c r="R634">
        <v>19939498</v>
      </c>
      <c r="S634">
        <v>3.7655725784296754E-2</v>
      </c>
      <c r="U634">
        <v>3.85</v>
      </c>
      <c r="V634">
        <v>1.4546882000000001</v>
      </c>
      <c r="W634">
        <v>4.2747960000000003</v>
      </c>
      <c r="X634">
        <v>61.227539999999998</v>
      </c>
      <c r="Y634">
        <v>2.4762200000000001</v>
      </c>
      <c r="Z634">
        <v>3.2425782241364201</v>
      </c>
      <c r="AJ634">
        <v>-0.59308481216430664</v>
      </c>
      <c r="AK634">
        <v>-0.78047353029251099</v>
      </c>
      <c r="AL634">
        <v>4.7425849999999999E-2</v>
      </c>
      <c r="AM634">
        <f>VLOOKUP(D634,[1]Sheet1!$C$1:$D$191,2,FALSE)</f>
        <v>81</v>
      </c>
    </row>
    <row r="635" spans="1:39" x14ac:dyDescent="0.35">
      <c r="A635">
        <v>2016</v>
      </c>
      <c r="B635" t="s">
        <v>84</v>
      </c>
      <c r="C635">
        <v>81</v>
      </c>
      <c r="D635" t="s">
        <v>284</v>
      </c>
      <c r="E635">
        <v>12372.873820396981</v>
      </c>
      <c r="G635">
        <v>12372.873820396981</v>
      </c>
      <c r="H635">
        <v>10239808436.9433</v>
      </c>
      <c r="I635">
        <v>10398861981.758301</v>
      </c>
      <c r="J635">
        <v>5.74089315058115E-2</v>
      </c>
      <c r="K635">
        <v>495.01743721600798</v>
      </c>
      <c r="L635">
        <v>1.9262062876915696E-2</v>
      </c>
      <c r="M635">
        <v>485.66257417527902</v>
      </c>
      <c r="N635">
        <v>1.65388922387806</v>
      </c>
      <c r="O635">
        <v>36.488109224551899</v>
      </c>
      <c r="P635">
        <v>11.4788257050699</v>
      </c>
      <c r="R635">
        <v>20685753</v>
      </c>
      <c r="S635">
        <v>3.7425967293660052E-2</v>
      </c>
      <c r="U635">
        <v>3.96</v>
      </c>
      <c r="V635">
        <v>1.5248485000000001</v>
      </c>
      <c r="W635">
        <v>4.2287809999999997</v>
      </c>
      <c r="X635">
        <v>60.877330000000001</v>
      </c>
      <c r="Y635">
        <v>4.3227599999999997</v>
      </c>
      <c r="Z635">
        <v>3.45043638449437</v>
      </c>
      <c r="AJ635">
        <v>-0.68505817651748657</v>
      </c>
      <c r="AK635">
        <v>-0.72074276208877563</v>
      </c>
      <c r="AL635">
        <v>0.11786287500000001</v>
      </c>
      <c r="AM635">
        <f>VLOOKUP(D635,[1]Sheet1!$C$1:$D$191,2,FALSE)</f>
        <v>81</v>
      </c>
    </row>
    <row r="636" spans="1:39" x14ac:dyDescent="0.35">
      <c r="A636">
        <v>2017</v>
      </c>
      <c r="B636" t="s">
        <v>84</v>
      </c>
      <c r="C636">
        <v>81</v>
      </c>
      <c r="D636" t="s">
        <v>284</v>
      </c>
      <c r="E636">
        <v>6006</v>
      </c>
      <c r="G636">
        <v>6006</v>
      </c>
      <c r="H636">
        <v>10752347793.0235</v>
      </c>
      <c r="I636">
        <v>11185104251.6943</v>
      </c>
      <c r="J636">
        <v>5.0053607861554786E-2</v>
      </c>
      <c r="K636">
        <v>501.61530546290197</v>
      </c>
      <c r="L636">
        <v>1.332855724032792E-2</v>
      </c>
      <c r="M636">
        <v>495.01743721600798</v>
      </c>
      <c r="N636">
        <v>2.7963731887127499</v>
      </c>
      <c r="O636">
        <v>39.071111737014903</v>
      </c>
      <c r="P636">
        <v>11.4148574711151</v>
      </c>
      <c r="R636">
        <v>21435446</v>
      </c>
      <c r="S636">
        <v>3.6241997088527551E-2</v>
      </c>
      <c r="T636">
        <v>30.259</v>
      </c>
      <c r="U636">
        <v>3.76</v>
      </c>
      <c r="V636">
        <v>1.7252368</v>
      </c>
      <c r="W636">
        <v>4.6550349999999998</v>
      </c>
      <c r="X636">
        <v>59.332830000000001</v>
      </c>
      <c r="Y636">
        <v>10.224299999999999</v>
      </c>
      <c r="Z636">
        <v>3.6674198187897802</v>
      </c>
      <c r="AJ636">
        <v>-0.70461356639862061</v>
      </c>
      <c r="AK636">
        <v>-0.72576904296875</v>
      </c>
      <c r="AL636">
        <v>8.4746400000000013E-2</v>
      </c>
      <c r="AM636">
        <f>VLOOKUP(D636,[1]Sheet1!$C$1:$D$191,2,FALSE)</f>
        <v>81</v>
      </c>
    </row>
    <row r="637" spans="1:39" x14ac:dyDescent="0.35">
      <c r="A637">
        <v>2018</v>
      </c>
      <c r="B637" t="s">
        <v>84</v>
      </c>
      <c r="C637">
        <v>81</v>
      </c>
      <c r="D637" t="s">
        <v>284</v>
      </c>
      <c r="E637">
        <v>5761.22</v>
      </c>
      <c r="G637">
        <v>5761.22</v>
      </c>
      <c r="H637">
        <v>11527744540.163</v>
      </c>
      <c r="I637">
        <v>12837307496.882099</v>
      </c>
      <c r="J637">
        <v>7.2114180276293169E-2</v>
      </c>
      <c r="K637">
        <v>519.54699348388601</v>
      </c>
      <c r="L637">
        <v>3.574788852273212E-2</v>
      </c>
      <c r="M637">
        <v>501.61530546290197</v>
      </c>
      <c r="N637">
        <v>2.9676036600445599</v>
      </c>
      <c r="O637">
        <v>37.538848399235597</v>
      </c>
      <c r="P637">
        <v>10.202612213918099</v>
      </c>
      <c r="R637">
        <v>22188069</v>
      </c>
      <c r="S637">
        <v>3.511114254398999E-2</v>
      </c>
      <c r="U637">
        <v>3.76</v>
      </c>
      <c r="V637">
        <v>1.6570252999999999</v>
      </c>
      <c r="W637">
        <v>3.9063219999999998</v>
      </c>
      <c r="X637">
        <v>60.931330000000003</v>
      </c>
      <c r="Z637">
        <v>4.3380195675136601</v>
      </c>
      <c r="AJ637">
        <v>-0.60522174835205078</v>
      </c>
      <c r="AK637">
        <v>-0.68292927742004395</v>
      </c>
      <c r="AL637">
        <v>5.4659674999999998E-2</v>
      </c>
      <c r="AM637">
        <f>VLOOKUP(D637,[1]Sheet1!$C$1:$D$191,2,FALSE)</f>
        <v>81</v>
      </c>
    </row>
    <row r="638" spans="1:39" x14ac:dyDescent="0.35">
      <c r="A638">
        <v>2020</v>
      </c>
      <c r="B638" t="s">
        <v>84</v>
      </c>
      <c r="C638">
        <v>81</v>
      </c>
      <c r="D638" t="s">
        <v>284</v>
      </c>
      <c r="E638">
        <v>2192.64</v>
      </c>
      <c r="G638">
        <v>2192.64</v>
      </c>
      <c r="H638">
        <v>12646096746.8881</v>
      </c>
      <c r="I638">
        <v>13744653103.058001</v>
      </c>
      <c r="J638">
        <v>3.5506410943688047E-2</v>
      </c>
      <c r="K638">
        <v>533.19432891025394</v>
      </c>
      <c r="L638">
        <v>1.8946464080466902E-3</v>
      </c>
      <c r="M638">
        <v>532.18602457038901</v>
      </c>
      <c r="N638">
        <v>2.8981937602626999</v>
      </c>
      <c r="O638">
        <v>35.512990657084103</v>
      </c>
      <c r="P638">
        <v>11.700232378582999</v>
      </c>
      <c r="R638">
        <v>23717613</v>
      </c>
      <c r="S638">
        <v>3.3548202554175559E-2</v>
      </c>
      <c r="U638">
        <v>3.29</v>
      </c>
      <c r="V638">
        <v>1.6334603999999999</v>
      </c>
      <c r="W638">
        <v>0</v>
      </c>
      <c r="X638">
        <v>0</v>
      </c>
      <c r="Y638">
        <v>17.037500000000001</v>
      </c>
      <c r="AJ638">
        <v>-0.5735619068145752</v>
      </c>
      <c r="AK638">
        <v>-0.79823899269104004</v>
      </c>
      <c r="AL638">
        <v>9.9518949999999995E-2</v>
      </c>
      <c r="AM638">
        <f>VLOOKUP(D638,[1]Sheet1!$C$1:$D$191,2,FALSE)</f>
        <v>81</v>
      </c>
    </row>
    <row r="639" spans="1:39" x14ac:dyDescent="0.35">
      <c r="A639">
        <v>2013</v>
      </c>
      <c r="B639" t="s">
        <v>85</v>
      </c>
      <c r="C639">
        <v>82</v>
      </c>
      <c r="D639" t="s">
        <v>285</v>
      </c>
      <c r="E639">
        <v>3650</v>
      </c>
      <c r="F639">
        <v>3305325</v>
      </c>
      <c r="G639">
        <v>3308975</v>
      </c>
      <c r="H639">
        <v>451780110046.797</v>
      </c>
      <c r="I639">
        <v>520117180313.90601</v>
      </c>
      <c r="J639">
        <v>6.6713353930616059E-2</v>
      </c>
      <c r="K639">
        <v>2495.3410657374802</v>
      </c>
      <c r="L639">
        <v>3.8144920768529669E-2</v>
      </c>
      <c r="M639">
        <v>2403.6538789692299</v>
      </c>
      <c r="N639">
        <v>8.4955183826567797</v>
      </c>
      <c r="P639">
        <v>11.533214941528399</v>
      </c>
      <c r="R639">
        <v>181049443</v>
      </c>
      <c r="S639">
        <v>2.7518733262154999E-2</v>
      </c>
      <c r="U639">
        <v>3.77</v>
      </c>
      <c r="V639">
        <v>13.311899</v>
      </c>
      <c r="W639">
        <v>7.7244669999999998</v>
      </c>
      <c r="X639">
        <v>40.049709999999997</v>
      </c>
      <c r="Y639">
        <v>19.100000000000001</v>
      </c>
      <c r="AA639">
        <v>2021</v>
      </c>
      <c r="AB639">
        <v>2023</v>
      </c>
      <c r="AC639">
        <v>0</v>
      </c>
      <c r="AD639">
        <v>0</v>
      </c>
      <c r="AE639">
        <v>2</v>
      </c>
      <c r="AF639">
        <v>1</v>
      </c>
      <c r="AJ639">
        <v>-1.120519757270813</v>
      </c>
      <c r="AK639">
        <v>-0.68176937103271484</v>
      </c>
      <c r="AL639">
        <v>0.1474693</v>
      </c>
      <c r="AM639">
        <f>VLOOKUP(D639,[1]Sheet1!$C$1:$D$191,2,FALSE)</f>
        <v>82</v>
      </c>
    </row>
    <row r="640" spans="1:39" x14ac:dyDescent="0.35">
      <c r="A640">
        <v>2014</v>
      </c>
      <c r="B640" t="s">
        <v>85</v>
      </c>
      <c r="C640">
        <v>82</v>
      </c>
      <c r="D640" t="s">
        <v>285</v>
      </c>
      <c r="E640">
        <v>961776.27436400601</v>
      </c>
      <c r="F640">
        <v>6909475</v>
      </c>
      <c r="G640">
        <v>7871251.2743640067</v>
      </c>
      <c r="H640">
        <v>480286163931.15002</v>
      </c>
      <c r="I640">
        <v>574183763411.50806</v>
      </c>
      <c r="J640">
        <v>6.3097186552547146E-2</v>
      </c>
      <c r="K640">
        <v>2583.6155695814</v>
      </c>
      <c r="L640">
        <v>3.5375726811850014E-2</v>
      </c>
      <c r="M640">
        <v>2495.3410657374802</v>
      </c>
      <c r="N640">
        <v>8.0474108796790702</v>
      </c>
      <c r="P640">
        <v>13.2970053767392</v>
      </c>
      <c r="R640">
        <v>185896915</v>
      </c>
      <c r="S640">
        <v>2.6774299438192692E-2</v>
      </c>
      <c r="U640">
        <v>3.76</v>
      </c>
      <c r="V640">
        <v>16.188267</v>
      </c>
      <c r="W640">
        <v>7.1226390000000004</v>
      </c>
      <c r="X640">
        <v>40.008920000000003</v>
      </c>
      <c r="Y640">
        <v>21</v>
      </c>
      <c r="AA640">
        <v>2021</v>
      </c>
      <c r="AB640">
        <v>2023</v>
      </c>
      <c r="AC640">
        <v>0</v>
      </c>
      <c r="AD640">
        <v>0</v>
      </c>
      <c r="AE640">
        <v>2</v>
      </c>
      <c r="AF640">
        <v>1</v>
      </c>
      <c r="AJ640">
        <v>-1.056079030036926</v>
      </c>
      <c r="AK640">
        <v>-0.83762276172637939</v>
      </c>
      <c r="AL640">
        <v>0.1025181</v>
      </c>
      <c r="AM640">
        <f>VLOOKUP(D640,[1]Sheet1!$C$1:$D$191,2,FALSE)</f>
        <v>82</v>
      </c>
    </row>
    <row r="641" spans="1:39" x14ac:dyDescent="0.35">
      <c r="A641">
        <v>2015</v>
      </c>
      <c r="B641" t="s">
        <v>85</v>
      </c>
      <c r="C641">
        <v>82</v>
      </c>
      <c r="D641" t="s">
        <v>285</v>
      </c>
      <c r="E641">
        <v>2593414.2144012661</v>
      </c>
      <c r="F641">
        <v>5353250</v>
      </c>
      <c r="G641">
        <v>7946664.2144012665</v>
      </c>
      <c r="H641">
        <v>493026682800.63</v>
      </c>
      <c r="I641">
        <v>493026682800.63</v>
      </c>
      <c r="J641">
        <v>2.6526932954300884E-2</v>
      </c>
      <c r="K641">
        <v>2585.7336067179699</v>
      </c>
      <c r="L641">
        <v>8.1979577825236469E-4</v>
      </c>
      <c r="M641">
        <v>2583.6155695814</v>
      </c>
      <c r="N641">
        <v>9.0094349800769908</v>
      </c>
      <c r="P641">
        <v>13.0786844773698</v>
      </c>
      <c r="R641">
        <v>190671878</v>
      </c>
      <c r="S641">
        <v>2.5686079836236119E-2</v>
      </c>
      <c r="U641">
        <v>4.62</v>
      </c>
      <c r="V641">
        <v>16.211369000000001</v>
      </c>
      <c r="W641">
        <v>6.7060019999999998</v>
      </c>
      <c r="X641">
        <v>37.64658</v>
      </c>
      <c r="Y641">
        <v>22.5</v>
      </c>
      <c r="AA641">
        <v>2021</v>
      </c>
      <c r="AB641">
        <v>2023</v>
      </c>
      <c r="AC641">
        <v>0</v>
      </c>
      <c r="AD641">
        <v>0</v>
      </c>
      <c r="AE641">
        <v>2</v>
      </c>
      <c r="AF641">
        <v>1</v>
      </c>
      <c r="AJ641">
        <v>-0.98326534032821655</v>
      </c>
      <c r="AK641">
        <v>-0.88799691200256348</v>
      </c>
      <c r="AL641">
        <v>0.23384697500000001</v>
      </c>
      <c r="AM641">
        <f>VLOOKUP(D641,[1]Sheet1!$C$1:$D$191,2,FALSE)</f>
        <v>82</v>
      </c>
    </row>
    <row r="642" spans="1:39" x14ac:dyDescent="0.35">
      <c r="A642">
        <v>2016</v>
      </c>
      <c r="B642" t="s">
        <v>85</v>
      </c>
      <c r="C642">
        <v>82</v>
      </c>
      <c r="D642" t="s">
        <v>285</v>
      </c>
      <c r="E642">
        <v>25218487.241981208</v>
      </c>
      <c r="F642">
        <v>10600775</v>
      </c>
      <c r="G642">
        <v>35819262.241981208</v>
      </c>
      <c r="H642">
        <v>485055087455.82001</v>
      </c>
      <c r="I642">
        <v>404649125252.15997</v>
      </c>
      <c r="J642">
        <v>-1.6168689490652879E-2</v>
      </c>
      <c r="K642">
        <v>2481.8149035032602</v>
      </c>
      <c r="L642">
        <v>-4.0189253426849349E-2</v>
      </c>
      <c r="M642">
        <v>2585.7336067179699</v>
      </c>
      <c r="N642">
        <v>15.6968126387972</v>
      </c>
      <c r="P642">
        <v>14.6080388563102</v>
      </c>
      <c r="R642">
        <v>195443700</v>
      </c>
      <c r="S642">
        <v>2.5026354437018762E-2</v>
      </c>
      <c r="T642">
        <v>35.436</v>
      </c>
      <c r="U642">
        <v>4.5</v>
      </c>
      <c r="V642">
        <v>16.738416000000001</v>
      </c>
      <c r="W642">
        <v>5.6513660000000003</v>
      </c>
      <c r="X642">
        <v>40.494169999999997</v>
      </c>
      <c r="Y642">
        <v>24.1</v>
      </c>
      <c r="AA642">
        <v>2021</v>
      </c>
      <c r="AB642">
        <v>2023</v>
      </c>
      <c r="AC642">
        <v>0</v>
      </c>
      <c r="AD642">
        <v>0</v>
      </c>
      <c r="AE642">
        <v>2</v>
      </c>
      <c r="AF642">
        <v>1</v>
      </c>
      <c r="AJ642">
        <v>-1.0386524200439451</v>
      </c>
      <c r="AK642">
        <v>-0.9423336386680603</v>
      </c>
      <c r="AL642">
        <v>0.152464725</v>
      </c>
      <c r="AM642">
        <f>VLOOKUP(D642,[1]Sheet1!$C$1:$D$191,2,FALSE)</f>
        <v>82</v>
      </c>
    </row>
    <row r="643" spans="1:39" x14ac:dyDescent="0.35">
      <c r="A643">
        <v>2017</v>
      </c>
      <c r="B643" t="s">
        <v>85</v>
      </c>
      <c r="C643">
        <v>82</v>
      </c>
      <c r="D643" t="s">
        <v>285</v>
      </c>
      <c r="E643">
        <v>919914.53486000001</v>
      </c>
      <c r="F643">
        <v>1888895.9350000001</v>
      </c>
      <c r="G643">
        <v>2808810.4698600001</v>
      </c>
      <c r="H643">
        <v>488964081500.901</v>
      </c>
      <c r="I643">
        <v>375745731053.427</v>
      </c>
      <c r="J643">
        <v>8.0588661910221369E-3</v>
      </c>
      <c r="K643">
        <v>2441.7123640448699</v>
      </c>
      <c r="L643">
        <v>-1.6158553726864439E-2</v>
      </c>
      <c r="M643">
        <v>2481.8149035032602</v>
      </c>
      <c r="N643">
        <v>16.502266213964099</v>
      </c>
      <c r="P643">
        <v>12.8520298076198</v>
      </c>
      <c r="R643">
        <v>200254579</v>
      </c>
      <c r="S643">
        <v>2.4615165390340032E-2</v>
      </c>
      <c r="U643">
        <v>4.4400000000000004</v>
      </c>
      <c r="V643">
        <v>16.328233000000001</v>
      </c>
      <c r="W643">
        <v>7.4008139999999996</v>
      </c>
      <c r="X643">
        <v>41.185310000000001</v>
      </c>
      <c r="Y643">
        <v>25.9</v>
      </c>
      <c r="AA643">
        <v>2021</v>
      </c>
      <c r="AB643">
        <v>2023</v>
      </c>
      <c r="AC643">
        <v>0</v>
      </c>
      <c r="AD643">
        <v>0</v>
      </c>
      <c r="AE643">
        <v>2</v>
      </c>
      <c r="AF643">
        <v>1</v>
      </c>
      <c r="AJ643">
        <v>-0.88729989528656006</v>
      </c>
      <c r="AK643">
        <v>-0.91714835166931152</v>
      </c>
      <c r="AL643">
        <v>0.118621225</v>
      </c>
      <c r="AM643">
        <f>VLOOKUP(D643,[1]Sheet1!$C$1:$D$191,2,FALSE)</f>
        <v>82</v>
      </c>
    </row>
    <row r="644" spans="1:39" x14ac:dyDescent="0.35">
      <c r="A644">
        <v>2018</v>
      </c>
      <c r="B644" t="s">
        <v>85</v>
      </c>
      <c r="C644">
        <v>82</v>
      </c>
      <c r="D644" t="s">
        <v>285</v>
      </c>
      <c r="E644">
        <v>4493174.7721637003</v>
      </c>
      <c r="F644">
        <v>9936788.7707500011</v>
      </c>
      <c r="G644">
        <v>14429963.542913701</v>
      </c>
      <c r="H644">
        <v>498365674277.73401</v>
      </c>
      <c r="I644">
        <v>421739251509.08002</v>
      </c>
      <c r="J644">
        <v>1.9227573420064564E-2</v>
      </c>
      <c r="K644">
        <v>2431.77857832567</v>
      </c>
      <c r="L644">
        <v>-4.0683685209931568E-3</v>
      </c>
      <c r="M644">
        <v>2441.7123640448699</v>
      </c>
      <c r="N644">
        <v>12.095106517343201</v>
      </c>
      <c r="P644">
        <v>10.2465813012399</v>
      </c>
      <c r="R644">
        <v>204938755</v>
      </c>
      <c r="S644">
        <v>2.3391105578664445E-2</v>
      </c>
      <c r="U644">
        <v>4.4400000000000004</v>
      </c>
      <c r="V644">
        <v>16.930261999999999</v>
      </c>
      <c r="W644">
        <v>6.1722650000000003</v>
      </c>
      <c r="X644">
        <v>39.968519999999998</v>
      </c>
      <c r="Y644">
        <v>27.7</v>
      </c>
      <c r="AA644">
        <v>2021</v>
      </c>
      <c r="AB644">
        <v>2023</v>
      </c>
      <c r="AC644">
        <v>0</v>
      </c>
      <c r="AD644">
        <v>0</v>
      </c>
      <c r="AE644">
        <v>2</v>
      </c>
      <c r="AF644">
        <v>1</v>
      </c>
      <c r="AI644">
        <v>1</v>
      </c>
      <c r="AJ644">
        <v>-0.91760575771331787</v>
      </c>
      <c r="AK644">
        <v>-0.87819874286651611</v>
      </c>
      <c r="AL644">
        <v>8.6780625000000014E-2</v>
      </c>
      <c r="AM644">
        <f>VLOOKUP(D644,[1]Sheet1!$C$1:$D$191,2,FALSE)</f>
        <v>82</v>
      </c>
    </row>
    <row r="645" spans="1:39" x14ac:dyDescent="0.35">
      <c r="A645">
        <v>2019</v>
      </c>
      <c r="B645" t="s">
        <v>85</v>
      </c>
      <c r="C645">
        <v>82</v>
      </c>
      <c r="D645" t="s">
        <v>285</v>
      </c>
      <c r="E645">
        <v>106183.73387937</v>
      </c>
      <c r="F645">
        <v>14242838.884041499</v>
      </c>
      <c r="G645">
        <v>14349022.617920868</v>
      </c>
      <c r="H645">
        <v>509371727735.74298</v>
      </c>
      <c r="I645">
        <v>474517490844.461</v>
      </c>
      <c r="J645">
        <v>2.2084292771486932E-2</v>
      </c>
      <c r="K645">
        <v>2431.53528472982</v>
      </c>
      <c r="L645">
        <v>-1.0004759397852077E-4</v>
      </c>
      <c r="M645">
        <v>2431.77857832567</v>
      </c>
      <c r="N645">
        <v>11.396422337811501</v>
      </c>
      <c r="P645">
        <v>11.1575566541912</v>
      </c>
      <c r="R645">
        <v>209485641</v>
      </c>
      <c r="S645">
        <v>2.2186560077424106E-2</v>
      </c>
      <c r="T645">
        <v>50.267000000000003</v>
      </c>
      <c r="U645">
        <v>4.12</v>
      </c>
      <c r="V645">
        <v>17.194856000000001</v>
      </c>
      <c r="W645">
        <v>5.8710560000000003</v>
      </c>
      <c r="X645">
        <v>44.068759999999997</v>
      </c>
      <c r="Y645">
        <v>29.7</v>
      </c>
      <c r="AA645">
        <v>2021</v>
      </c>
      <c r="AB645">
        <v>2023</v>
      </c>
      <c r="AC645">
        <v>0</v>
      </c>
      <c r="AD645">
        <v>0</v>
      </c>
      <c r="AE645">
        <v>2</v>
      </c>
      <c r="AF645">
        <v>1</v>
      </c>
      <c r="AI645">
        <v>1</v>
      </c>
      <c r="AJ645">
        <v>-0.9384419322013855</v>
      </c>
      <c r="AK645">
        <v>-0.94047641754150391</v>
      </c>
      <c r="AL645">
        <v>0.108665025</v>
      </c>
      <c r="AM645">
        <f>VLOOKUP(D645,[1]Sheet1!$C$1:$D$191,2,FALSE)</f>
        <v>82</v>
      </c>
    </row>
    <row r="646" spans="1:39" x14ac:dyDescent="0.35">
      <c r="A646">
        <v>2020</v>
      </c>
      <c r="B646" t="s">
        <v>85</v>
      </c>
      <c r="C646">
        <v>82</v>
      </c>
      <c r="D646" t="s">
        <v>285</v>
      </c>
      <c r="E646">
        <v>377908.93024810997</v>
      </c>
      <c r="F646">
        <v>5267823.7552279979</v>
      </c>
      <c r="G646">
        <v>5645732.6854761075</v>
      </c>
      <c r="H646">
        <v>500232309808.216</v>
      </c>
      <c r="I646">
        <v>432198898467.79498</v>
      </c>
      <c r="J646">
        <v>-1.7942530827443993E-2</v>
      </c>
      <c r="K646">
        <v>2337.5758738807399</v>
      </c>
      <c r="L646">
        <v>-3.8642010025168268E-2</v>
      </c>
      <c r="M646">
        <v>2431.53528472982</v>
      </c>
      <c r="N646">
        <v>13.246023427659701</v>
      </c>
      <c r="P646">
        <v>12.131850602834101</v>
      </c>
      <c r="R646">
        <v>213996181</v>
      </c>
      <c r="S646">
        <v>2.1531499621971702E-2</v>
      </c>
      <c r="U646">
        <v>4.0999999999999996</v>
      </c>
      <c r="V646">
        <v>16.146698000000001</v>
      </c>
      <c r="W646">
        <v>4.7243880000000003</v>
      </c>
      <c r="X646">
        <v>44.590769999999999</v>
      </c>
      <c r="Y646">
        <v>31.8888</v>
      </c>
      <c r="AA646">
        <v>2021</v>
      </c>
      <c r="AB646">
        <v>2023</v>
      </c>
      <c r="AC646">
        <v>0</v>
      </c>
      <c r="AD646">
        <v>0</v>
      </c>
      <c r="AE646">
        <v>2</v>
      </c>
      <c r="AF646">
        <v>1</v>
      </c>
      <c r="AI646">
        <v>1</v>
      </c>
      <c r="AJ646">
        <v>-0.84204208850860596</v>
      </c>
      <c r="AK646">
        <v>-1.0244343280792241</v>
      </c>
      <c r="AL646">
        <v>0.17192125</v>
      </c>
      <c r="AM646">
        <f>VLOOKUP(D646,[1]Sheet1!$C$1:$D$191,2,FALSE)</f>
        <v>82</v>
      </c>
    </row>
    <row r="647" spans="1:39" x14ac:dyDescent="0.35">
      <c r="A647">
        <v>2013</v>
      </c>
      <c r="B647" t="s">
        <v>86</v>
      </c>
      <c r="C647">
        <v>83</v>
      </c>
      <c r="D647" t="s">
        <v>286</v>
      </c>
      <c r="E647">
        <v>29240.87</v>
      </c>
      <c r="F647">
        <v>4000</v>
      </c>
      <c r="G647">
        <v>33240.869999999995</v>
      </c>
      <c r="H647">
        <v>276443758787.987</v>
      </c>
      <c r="I647">
        <v>258657231672.41199</v>
      </c>
      <c r="J647">
        <v>4.3668650497838093E-2</v>
      </c>
      <c r="K647">
        <v>1309.7008044638601</v>
      </c>
      <c r="L647">
        <v>2.6823250100097562E-2</v>
      </c>
      <c r="M647">
        <v>1275.48806898966</v>
      </c>
      <c r="N647">
        <v>7.6921561189956504</v>
      </c>
      <c r="O647">
        <v>30.890275019039301</v>
      </c>
      <c r="P647">
        <v>14.405959137138799</v>
      </c>
      <c r="R647">
        <v>211073978</v>
      </c>
      <c r="S647">
        <v>1.6405355445644081E-2</v>
      </c>
      <c r="T647">
        <v>52.878999999999998</v>
      </c>
      <c r="U647">
        <v>4.6399999999999997</v>
      </c>
      <c r="V647">
        <v>6.2944199999999997</v>
      </c>
      <c r="W647">
        <v>3.8740399999999999</v>
      </c>
      <c r="X647">
        <v>42.65822</v>
      </c>
      <c r="Y647">
        <v>9</v>
      </c>
      <c r="Z647">
        <v>8.7183599577281203</v>
      </c>
      <c r="AJ647">
        <v>-0.8561866283416748</v>
      </c>
      <c r="AK647">
        <v>-0.7050049901008606</v>
      </c>
      <c r="AL647">
        <v>1.8738024999999998E-2</v>
      </c>
      <c r="AM647">
        <f>VLOOKUP(D647,[1]Sheet1!$C$1:$D$191,2,FALSE)</f>
        <v>83</v>
      </c>
    </row>
    <row r="648" spans="1:39" x14ac:dyDescent="0.35">
      <c r="A648">
        <v>2014</v>
      </c>
      <c r="B648" t="s">
        <v>86</v>
      </c>
      <c r="C648">
        <v>83</v>
      </c>
      <c r="D648" t="s">
        <v>286</v>
      </c>
      <c r="E648">
        <v>36072.1</v>
      </c>
      <c r="F648">
        <v>20000</v>
      </c>
      <c r="G648">
        <v>56072.1</v>
      </c>
      <c r="H648">
        <v>287823367553.40503</v>
      </c>
      <c r="I648">
        <v>271390474857.63199</v>
      </c>
      <c r="J648">
        <v>4.1164281716142462E-2</v>
      </c>
      <c r="K648">
        <v>1343.30778121043</v>
      </c>
      <c r="L648">
        <v>2.5660041310219147E-2</v>
      </c>
      <c r="M648">
        <v>1309.7008044638601</v>
      </c>
      <c r="N648">
        <v>7.1893840284702799</v>
      </c>
      <c r="O648">
        <v>29.469825833498099</v>
      </c>
      <c r="P648">
        <v>14.036343426981601</v>
      </c>
      <c r="R648">
        <v>214264647</v>
      </c>
      <c r="S648">
        <v>1.5116354134378422E-2</v>
      </c>
      <c r="T648">
        <v>52.021999999999998</v>
      </c>
      <c r="U648">
        <v>4.6399999999999997</v>
      </c>
      <c r="V648">
        <v>7.2686032999999997</v>
      </c>
      <c r="W648">
        <v>4.512696</v>
      </c>
      <c r="X648">
        <v>41.603589999999997</v>
      </c>
      <c r="Y648">
        <v>10</v>
      </c>
      <c r="Z648">
        <v>8.7456922854447505</v>
      </c>
      <c r="AJ648">
        <v>-0.75113564729690552</v>
      </c>
      <c r="AK648">
        <v>-0.68854093551635742</v>
      </c>
      <c r="AL648">
        <v>5.3638625000000002E-2</v>
      </c>
      <c r="AM648">
        <f>VLOOKUP(D648,[1]Sheet1!$C$1:$D$191,2,FALSE)</f>
        <v>83</v>
      </c>
    </row>
    <row r="649" spans="1:39" x14ac:dyDescent="0.35">
      <c r="A649">
        <v>2015</v>
      </c>
      <c r="B649" t="s">
        <v>86</v>
      </c>
      <c r="C649">
        <v>83</v>
      </c>
      <c r="D649" t="s">
        <v>286</v>
      </c>
      <c r="E649">
        <v>37134.620000000003</v>
      </c>
      <c r="F649">
        <v>76000</v>
      </c>
      <c r="G649">
        <v>113134.62</v>
      </c>
      <c r="H649">
        <v>299963590534.77301</v>
      </c>
      <c r="I649">
        <v>299963590534.77301</v>
      </c>
      <c r="J649">
        <v>4.2179420957248678E-2</v>
      </c>
      <c r="K649">
        <v>1380.4702083831701</v>
      </c>
      <c r="L649">
        <v>2.766486407102749E-2</v>
      </c>
      <c r="M649">
        <v>1343.30778121043</v>
      </c>
      <c r="N649">
        <v>2.5293281725422898</v>
      </c>
      <c r="O649">
        <v>26.688184603954099</v>
      </c>
      <c r="P649">
        <v>13.877672060483301</v>
      </c>
      <c r="R649">
        <v>217290883</v>
      </c>
      <c r="S649">
        <v>1.4123823236224313E-2</v>
      </c>
      <c r="T649">
        <v>51.968000000000004</v>
      </c>
      <c r="U649">
        <v>4.4000000000000004</v>
      </c>
      <c r="V649">
        <v>8.4479003000000006</v>
      </c>
      <c r="W649">
        <v>4.2565999999999997</v>
      </c>
      <c r="X649">
        <v>41.213059999999999</v>
      </c>
      <c r="Y649">
        <v>11</v>
      </c>
      <c r="Z649">
        <v>8.4355664890415305</v>
      </c>
      <c r="AJ649">
        <v>-0.77700495719909668</v>
      </c>
      <c r="AK649">
        <v>-0.64511525630950928</v>
      </c>
      <c r="AL649">
        <v>1.3530149999999999E-2</v>
      </c>
      <c r="AM649">
        <f>VLOOKUP(D649,[1]Sheet1!$C$1:$D$191,2,FALSE)</f>
        <v>83</v>
      </c>
    </row>
    <row r="650" spans="1:39" x14ac:dyDescent="0.35">
      <c r="A650">
        <v>2016</v>
      </c>
      <c r="B650" t="s">
        <v>86</v>
      </c>
      <c r="C650">
        <v>83</v>
      </c>
      <c r="D650" t="s">
        <v>286</v>
      </c>
      <c r="E650">
        <v>89578.541282189501</v>
      </c>
      <c r="G650">
        <v>89578.541282189501</v>
      </c>
      <c r="H650">
        <v>319682711890.73999</v>
      </c>
      <c r="I650">
        <v>313630000130.435</v>
      </c>
      <c r="J650">
        <v>6.5738382851104921E-2</v>
      </c>
      <c r="K650">
        <v>1452.1865826917699</v>
      </c>
      <c r="L650">
        <v>5.1950685985896972E-2</v>
      </c>
      <c r="M650">
        <v>1380.4702083831701</v>
      </c>
      <c r="N650">
        <v>3.7651191635657999</v>
      </c>
      <c r="O650">
        <v>24.701579514823599</v>
      </c>
      <c r="P650">
        <v>14.682249129127401</v>
      </c>
      <c r="R650">
        <v>220138869</v>
      </c>
      <c r="S650">
        <v>1.3106790127039062E-2</v>
      </c>
      <c r="T650">
        <v>49.067</v>
      </c>
      <c r="U650">
        <v>4.33</v>
      </c>
      <c r="V650">
        <v>9.4479422</v>
      </c>
      <c r="W650">
        <v>3.7236250000000002</v>
      </c>
      <c r="X650">
        <v>42.13082</v>
      </c>
      <c r="Y650">
        <v>12.385400000000001</v>
      </c>
      <c r="Z650">
        <v>8.3197390355087801</v>
      </c>
      <c r="AJ650">
        <v>-0.81552016735076904</v>
      </c>
      <c r="AK650">
        <v>-0.66241639852523804</v>
      </c>
      <c r="AL650">
        <v>3.6158000000000003E-2</v>
      </c>
      <c r="AM650">
        <f>VLOOKUP(D650,[1]Sheet1!$C$1:$D$191,2,FALSE)</f>
        <v>83</v>
      </c>
    </row>
    <row r="651" spans="1:39" x14ac:dyDescent="0.35">
      <c r="A651">
        <v>2017</v>
      </c>
      <c r="B651" t="s">
        <v>86</v>
      </c>
      <c r="C651">
        <v>83</v>
      </c>
      <c r="D651" t="s">
        <v>286</v>
      </c>
      <c r="E651">
        <v>790113</v>
      </c>
      <c r="F651">
        <v>7781649</v>
      </c>
      <c r="G651">
        <v>8571762</v>
      </c>
      <c r="H651">
        <v>333853050597.69702</v>
      </c>
      <c r="I651">
        <v>339205534861.09998</v>
      </c>
      <c r="J651">
        <v>4.4326259068398162E-2</v>
      </c>
      <c r="K651">
        <v>1495.2618752803201</v>
      </c>
      <c r="L651">
        <v>2.9662367840299065E-2</v>
      </c>
      <c r="M651">
        <v>1452.1865826917699</v>
      </c>
      <c r="N651">
        <v>4.0853736803260796</v>
      </c>
      <c r="O651">
        <v>25.472036408702198</v>
      </c>
      <c r="P651">
        <v>15.3138129313571</v>
      </c>
      <c r="R651">
        <v>223273967</v>
      </c>
      <c r="S651">
        <v>1.4241455923896838E-2</v>
      </c>
      <c r="U651">
        <v>4.26</v>
      </c>
      <c r="V651">
        <v>9.9959778999999997</v>
      </c>
      <c r="W651">
        <v>3.2182689999999998</v>
      </c>
      <c r="X651">
        <v>42.998260000000002</v>
      </c>
      <c r="Y651">
        <v>13.78</v>
      </c>
      <c r="Z651">
        <v>8.62228080260493</v>
      </c>
      <c r="AJ651">
        <v>-0.73169410228729248</v>
      </c>
      <c r="AK651">
        <v>-0.61237055063247681</v>
      </c>
      <c r="AL651">
        <v>2.0961275000000001E-2</v>
      </c>
      <c r="AM651">
        <f>VLOOKUP(D651,[1]Sheet1!$C$1:$D$191,2,FALSE)</f>
        <v>83</v>
      </c>
    </row>
    <row r="652" spans="1:39" x14ac:dyDescent="0.35">
      <c r="A652">
        <v>2018</v>
      </c>
      <c r="B652" t="s">
        <v>86</v>
      </c>
      <c r="C652">
        <v>83</v>
      </c>
      <c r="D652" t="s">
        <v>286</v>
      </c>
      <c r="E652">
        <v>640111.397123</v>
      </c>
      <c r="F652">
        <v>4848795</v>
      </c>
      <c r="G652">
        <v>5488906.3971229997</v>
      </c>
      <c r="H652">
        <v>354390697428.203</v>
      </c>
      <c r="I652">
        <v>356128166704.92102</v>
      </c>
      <c r="J652">
        <v>6.151702610995298E-2</v>
      </c>
      <c r="K652">
        <v>1561.6816981955899</v>
      </c>
      <c r="L652">
        <v>4.4420194223716139E-2</v>
      </c>
      <c r="M652">
        <v>1495.2618752803201</v>
      </c>
      <c r="N652">
        <v>5.0780572586891699</v>
      </c>
      <c r="O652">
        <v>27.626056365162299</v>
      </c>
      <c r="P652">
        <v>16.632351114514201</v>
      </c>
      <c r="R652">
        <v>226928892</v>
      </c>
      <c r="S652">
        <v>1.6369687201374446E-2</v>
      </c>
      <c r="T652">
        <v>52.021000000000001</v>
      </c>
      <c r="U652">
        <v>4.17</v>
      </c>
      <c r="V652">
        <v>10.453809</v>
      </c>
      <c r="W652">
        <v>2.882701</v>
      </c>
      <c r="X652">
        <v>43.002789999999997</v>
      </c>
      <c r="Y652">
        <v>15.34</v>
      </c>
      <c r="Z652">
        <v>8.2068305796338095</v>
      </c>
      <c r="AJ652">
        <v>-0.68364995718002319</v>
      </c>
      <c r="AK652">
        <v>-0.66799825429916382</v>
      </c>
      <c r="AL652">
        <v>1.9903049999999999E-2</v>
      </c>
      <c r="AM652">
        <f>VLOOKUP(D652,[1]Sheet1!$C$1:$D$191,2,FALSE)</f>
        <v>83</v>
      </c>
    </row>
    <row r="653" spans="1:39" x14ac:dyDescent="0.35">
      <c r="A653">
        <v>2019</v>
      </c>
      <c r="B653" t="s">
        <v>86</v>
      </c>
      <c r="C653">
        <v>83</v>
      </c>
      <c r="D653" t="s">
        <v>286</v>
      </c>
      <c r="E653">
        <v>909829.06067000004</v>
      </c>
      <c r="F653">
        <v>4527406</v>
      </c>
      <c r="G653">
        <v>5437235.0606699996</v>
      </c>
      <c r="H653">
        <v>363242090361.64697</v>
      </c>
      <c r="I653">
        <v>320909472770.66901</v>
      </c>
      <c r="J653">
        <v>2.4976369294335662E-2</v>
      </c>
      <c r="K653">
        <v>1573.8330826936999</v>
      </c>
      <c r="L653">
        <v>7.7809610704601736E-3</v>
      </c>
      <c r="M653">
        <v>1561.6816981955899</v>
      </c>
      <c r="N653">
        <v>10.5783618004555</v>
      </c>
      <c r="O653">
        <v>28.905575799445302</v>
      </c>
      <c r="P653">
        <v>15.6879858068791</v>
      </c>
      <c r="R653">
        <v>230800899</v>
      </c>
      <c r="S653">
        <v>1.7062644451637299E-2</v>
      </c>
      <c r="T653">
        <v>52.201999999999998</v>
      </c>
      <c r="U653">
        <v>4.25</v>
      </c>
      <c r="V653">
        <v>10.843963</v>
      </c>
      <c r="W653">
        <v>3.5180950000000002</v>
      </c>
      <c r="X653">
        <v>41.804160000000003</v>
      </c>
      <c r="Y653">
        <v>17.070900000000002</v>
      </c>
      <c r="Z653">
        <v>11.103638528677999</v>
      </c>
      <c r="AJ653">
        <v>-0.68840104341506958</v>
      </c>
      <c r="AK653">
        <v>-0.68723505735397339</v>
      </c>
      <c r="AL653">
        <v>7.7970750000000014E-3</v>
      </c>
      <c r="AM653">
        <f>VLOOKUP(D653,[1]Sheet1!$C$1:$D$191,2,FALSE)</f>
        <v>83</v>
      </c>
    </row>
    <row r="654" spans="1:39" x14ac:dyDescent="0.35">
      <c r="A654">
        <v>2020</v>
      </c>
      <c r="B654" t="s">
        <v>86</v>
      </c>
      <c r="C654">
        <v>83</v>
      </c>
      <c r="D654" t="s">
        <v>286</v>
      </c>
      <c r="E654">
        <v>16535859.1550375</v>
      </c>
      <c r="F654">
        <v>1172947</v>
      </c>
      <c r="G654">
        <v>17708806.1550375</v>
      </c>
      <c r="H654">
        <v>358614068499.25299</v>
      </c>
      <c r="I654">
        <v>300425609817.98102</v>
      </c>
      <c r="J654">
        <v>-1.2740874433869388E-2</v>
      </c>
      <c r="K654">
        <v>1526.0059748630699</v>
      </c>
      <c r="L654">
        <v>-3.0388932826835309E-2</v>
      </c>
      <c r="M654">
        <v>1573.8330826936999</v>
      </c>
      <c r="N654">
        <v>9.7399931389815499</v>
      </c>
      <c r="O654">
        <v>26.7162804594298</v>
      </c>
      <c r="P654">
        <v>15.0331201291201</v>
      </c>
      <c r="R654">
        <v>235001746</v>
      </c>
      <c r="S654">
        <v>1.8201172604617975E-2</v>
      </c>
      <c r="U654">
        <v>4.3099999999999996</v>
      </c>
      <c r="V654">
        <v>11.14124</v>
      </c>
      <c r="W654">
        <v>4.049722</v>
      </c>
      <c r="X654">
        <v>39.749870000000001</v>
      </c>
      <c r="Y654">
        <v>18.934799999999999</v>
      </c>
      <c r="Z654">
        <v>11.7245978752314</v>
      </c>
      <c r="AJ654">
        <v>-0.71293848752975464</v>
      </c>
      <c r="AK654">
        <v>-0.76476591825485229</v>
      </c>
      <c r="AL654">
        <v>2.9518249999999999E-2</v>
      </c>
      <c r="AM654">
        <f>VLOOKUP(D654,[1]Sheet1!$C$1:$D$191,2,FALSE)</f>
        <v>83</v>
      </c>
    </row>
    <row r="655" spans="1:39" x14ac:dyDescent="0.35">
      <c r="A655">
        <v>2013</v>
      </c>
      <c r="B655" t="s">
        <v>87</v>
      </c>
      <c r="C655">
        <v>84</v>
      </c>
      <c r="D655" t="s">
        <v>287</v>
      </c>
      <c r="E655">
        <v>9560</v>
      </c>
      <c r="G655">
        <v>9560</v>
      </c>
      <c r="H655">
        <v>179547449111.36099</v>
      </c>
      <c r="I655">
        <v>201175543571.392</v>
      </c>
      <c r="J655">
        <v>5.8525182108490226E-2</v>
      </c>
      <c r="K655">
        <v>6021.4614276523198</v>
      </c>
      <c r="L655">
        <v>4.9027148793402163E-2</v>
      </c>
      <c r="M655">
        <v>5740.0434627247196</v>
      </c>
      <c r="N655">
        <v>2.7678966608200199</v>
      </c>
      <c r="O655">
        <v>49.787142447144397</v>
      </c>
      <c r="P655">
        <v>37.719929176453199</v>
      </c>
      <c r="Q655">
        <v>18.9583513319003</v>
      </c>
      <c r="R655">
        <v>29817919</v>
      </c>
      <c r="S655">
        <v>9.0541348963325864E-3</v>
      </c>
      <c r="T655">
        <v>75.462999999999994</v>
      </c>
      <c r="U655">
        <v>6.54</v>
      </c>
      <c r="V655">
        <v>41.958806000000003</v>
      </c>
      <c r="W655">
        <v>5.8904199999999998</v>
      </c>
      <c r="X655">
        <v>73.528670000000005</v>
      </c>
      <c r="Y655">
        <v>39.200000000000003</v>
      </c>
      <c r="AJ655">
        <v>-0.57441961765289307</v>
      </c>
      <c r="AK655">
        <v>0.40630167722702032</v>
      </c>
      <c r="AL655">
        <v>0.123456125</v>
      </c>
      <c r="AM655">
        <f>VLOOKUP(D655,[1]Sheet1!$C$1:$D$191,2,FALSE)</f>
        <v>84</v>
      </c>
    </row>
    <row r="656" spans="1:39" x14ac:dyDescent="0.35">
      <c r="A656">
        <v>2014</v>
      </c>
      <c r="B656" t="s">
        <v>87</v>
      </c>
      <c r="C656">
        <v>84</v>
      </c>
      <c r="D656" t="s">
        <v>287</v>
      </c>
      <c r="E656">
        <v>68987</v>
      </c>
      <c r="G656">
        <v>68987</v>
      </c>
      <c r="H656">
        <v>183824551906.25601</v>
      </c>
      <c r="I656">
        <v>200786250582.94299</v>
      </c>
      <c r="J656">
        <v>2.3821573718055027E-2</v>
      </c>
      <c r="K656">
        <v>6103.9186474996905</v>
      </c>
      <c r="L656">
        <v>1.3693888242595539E-2</v>
      </c>
      <c r="M656">
        <v>6021.4614276523198</v>
      </c>
      <c r="N656">
        <v>3.4119457980746501</v>
      </c>
      <c r="O656">
        <v>46.8531210912899</v>
      </c>
      <c r="P656">
        <v>40.899626817597301</v>
      </c>
      <c r="Q656">
        <v>20.511421911594802</v>
      </c>
      <c r="R656">
        <v>30115826</v>
      </c>
      <c r="S656">
        <v>9.9908715963712962E-3</v>
      </c>
      <c r="T656">
        <v>74.819999999999993</v>
      </c>
      <c r="U656">
        <v>6.54</v>
      </c>
      <c r="V656">
        <v>56.734428999999999</v>
      </c>
      <c r="W656">
        <v>5.764297</v>
      </c>
      <c r="X656">
        <v>73.702619999999996</v>
      </c>
      <c r="Y656">
        <v>40.244700000000002</v>
      </c>
      <c r="AJ656">
        <v>-0.52255260944366455</v>
      </c>
      <c r="AK656">
        <v>0.47424823045730591</v>
      </c>
      <c r="AL656">
        <v>5.0248149999999998E-2</v>
      </c>
      <c r="AM656">
        <f>VLOOKUP(D656,[1]Sheet1!$C$1:$D$191,2,FALSE)</f>
        <v>84</v>
      </c>
    </row>
    <row r="657" spans="1:39" x14ac:dyDescent="0.35">
      <c r="A657">
        <v>2015</v>
      </c>
      <c r="B657" t="s">
        <v>87</v>
      </c>
      <c r="C657">
        <v>84</v>
      </c>
      <c r="D657" t="s">
        <v>287</v>
      </c>
      <c r="E657">
        <v>200941</v>
      </c>
      <c r="F657">
        <v>75000</v>
      </c>
      <c r="G657">
        <v>275941</v>
      </c>
      <c r="H657">
        <v>189802976285.61899</v>
      </c>
      <c r="I657">
        <v>189802976285.61899</v>
      </c>
      <c r="J657">
        <v>3.2522447721845989E-2</v>
      </c>
      <c r="K657">
        <v>6231.7115033889404</v>
      </c>
      <c r="L657">
        <v>2.0936199066413988E-2</v>
      </c>
      <c r="M657">
        <v>6103.9186474996905</v>
      </c>
      <c r="N657">
        <v>3.39809194746308</v>
      </c>
      <c r="O657">
        <v>45.162768689114799</v>
      </c>
      <c r="P657">
        <v>43.867931454047699</v>
      </c>
      <c r="Q657">
        <v>20.567582370092801</v>
      </c>
      <c r="R657">
        <v>30457600</v>
      </c>
      <c r="S657">
        <v>1.1348651038161796E-2</v>
      </c>
      <c r="T657">
        <v>73.843000000000004</v>
      </c>
      <c r="U657">
        <v>6.58</v>
      </c>
      <c r="V657">
        <v>123.09918</v>
      </c>
      <c r="W657">
        <v>6.3618860000000002</v>
      </c>
      <c r="X657">
        <v>72.979979999999998</v>
      </c>
      <c r="Y657">
        <v>40.852600000000002</v>
      </c>
      <c r="AJ657">
        <v>-0.49964961409568792</v>
      </c>
      <c r="AK657">
        <v>0.43927982449531561</v>
      </c>
      <c r="AL657">
        <v>6.325385E-2</v>
      </c>
      <c r="AM657">
        <f>VLOOKUP(D657,[1]Sheet1!$C$1:$D$191,2,FALSE)</f>
        <v>84</v>
      </c>
    </row>
    <row r="658" spans="1:39" x14ac:dyDescent="0.35">
      <c r="A658">
        <v>2016</v>
      </c>
      <c r="B658" t="s">
        <v>87</v>
      </c>
      <c r="C658">
        <v>84</v>
      </c>
      <c r="D658" t="s">
        <v>287</v>
      </c>
      <c r="E658">
        <v>92671.898103116706</v>
      </c>
      <c r="F658">
        <v>9759939</v>
      </c>
      <c r="G658">
        <v>9852610.8981031161</v>
      </c>
      <c r="H658">
        <v>197306492869.13901</v>
      </c>
      <c r="I658">
        <v>191898104390.379</v>
      </c>
      <c r="J658">
        <v>3.9533187152073899E-2</v>
      </c>
      <c r="K658">
        <v>6392.25474941014</v>
      </c>
      <c r="L658">
        <v>2.5762303972815925E-2</v>
      </c>
      <c r="M658">
        <v>6231.7115033889404</v>
      </c>
      <c r="N658">
        <v>3.5571766355627901</v>
      </c>
      <c r="O658">
        <v>45.388841196415399</v>
      </c>
      <c r="P658">
        <v>42.809025345641899</v>
      </c>
      <c r="Q658">
        <v>19.188026935289798</v>
      </c>
      <c r="R658">
        <v>30866494</v>
      </c>
      <c r="S658">
        <v>1.3425023639420046E-2</v>
      </c>
      <c r="T658">
        <v>74.629000000000005</v>
      </c>
      <c r="U658">
        <v>6.65</v>
      </c>
      <c r="V658">
        <v>110.69382</v>
      </c>
      <c r="W658">
        <v>6.8024680000000002</v>
      </c>
      <c r="X658">
        <v>71.764229999999998</v>
      </c>
      <c r="Y658">
        <v>45.4617</v>
      </c>
      <c r="Z658">
        <v>73.222320556640597</v>
      </c>
      <c r="AJ658">
        <v>-0.49603629112243652</v>
      </c>
      <c r="AK658">
        <v>0.4693261981010437</v>
      </c>
      <c r="AL658">
        <v>6.1149924999999987E-2</v>
      </c>
      <c r="AM658">
        <f>VLOOKUP(D658,[1]Sheet1!$C$1:$D$191,2,FALSE)</f>
        <v>84</v>
      </c>
    </row>
    <row r="659" spans="1:39" x14ac:dyDescent="0.35">
      <c r="A659">
        <v>2017</v>
      </c>
      <c r="B659" t="s">
        <v>87</v>
      </c>
      <c r="C659">
        <v>84</v>
      </c>
      <c r="D659" t="s">
        <v>287</v>
      </c>
      <c r="E659">
        <v>1086998.8969000001</v>
      </c>
      <c r="F659">
        <v>28181812.383000001</v>
      </c>
      <c r="G659">
        <v>29268811.279899999</v>
      </c>
      <c r="H659">
        <v>202276318741.548</v>
      </c>
      <c r="I659">
        <v>211007984080.91101</v>
      </c>
      <c r="J659">
        <v>2.5188354423314237E-2</v>
      </c>
      <c r="K659">
        <v>6457.4194025472098</v>
      </c>
      <c r="L659">
        <v>1.0194314164823137E-2</v>
      </c>
      <c r="M659">
        <v>6392.25474941014</v>
      </c>
      <c r="N659">
        <v>2.9949004580944298</v>
      </c>
      <c r="O659">
        <v>47.513550361997098</v>
      </c>
      <c r="P659">
        <v>42.414614308075599</v>
      </c>
      <c r="Q659">
        <v>20.150278468518501</v>
      </c>
      <c r="R659">
        <v>31324637</v>
      </c>
      <c r="S659">
        <v>1.4842728817856671E-2</v>
      </c>
      <c r="T659">
        <v>74.765000000000001</v>
      </c>
      <c r="U659">
        <v>6.49</v>
      </c>
      <c r="V659">
        <v>107.50256</v>
      </c>
      <c r="W659">
        <v>6.5207179999999996</v>
      </c>
      <c r="X659">
        <v>71.874229999999997</v>
      </c>
      <c r="Y659">
        <v>50.450400000000002</v>
      </c>
      <c r="Z659">
        <v>71.240470886230497</v>
      </c>
      <c r="AJ659">
        <v>-0.52328157424926758</v>
      </c>
      <c r="AK659">
        <v>0.35148775577545172</v>
      </c>
      <c r="AL659">
        <v>6.1148275000000002E-2</v>
      </c>
      <c r="AM659">
        <f>VLOOKUP(D659,[1]Sheet1!$C$1:$D$191,2,FALSE)</f>
        <v>84</v>
      </c>
    </row>
    <row r="660" spans="1:39" x14ac:dyDescent="0.35">
      <c r="A660">
        <v>2018</v>
      </c>
      <c r="B660" t="s">
        <v>87</v>
      </c>
      <c r="C660">
        <v>84</v>
      </c>
      <c r="D660" t="s">
        <v>287</v>
      </c>
      <c r="E660">
        <v>581839.71618400002</v>
      </c>
      <c r="F660">
        <v>157879603.2096</v>
      </c>
      <c r="G660">
        <v>158461442.92578399</v>
      </c>
      <c r="H660">
        <v>210305376512.78</v>
      </c>
      <c r="I660">
        <v>222597009739.23499</v>
      </c>
      <c r="J660">
        <v>3.9693513413653042E-2</v>
      </c>
      <c r="K660">
        <v>6593.1443745952602</v>
      </c>
      <c r="L660">
        <v>2.1018453903507026E-2</v>
      </c>
      <c r="M660">
        <v>6457.4194025472098</v>
      </c>
      <c r="N660">
        <v>1.5091542302474199</v>
      </c>
      <c r="O660">
        <v>48.631470171735998</v>
      </c>
      <c r="P660">
        <v>43.903942443299499</v>
      </c>
      <c r="Q660">
        <v>19.8892517491084</v>
      </c>
      <c r="R660">
        <v>31897584</v>
      </c>
      <c r="S660">
        <v>1.8290618978282176E-2</v>
      </c>
      <c r="T660">
        <v>74.356999999999999</v>
      </c>
      <c r="U660">
        <v>6.6</v>
      </c>
      <c r="V660">
        <v>112.64566000000001</v>
      </c>
      <c r="W660">
        <v>6.1451130000000003</v>
      </c>
      <c r="X660">
        <v>71.218100000000007</v>
      </c>
      <c r="Y660">
        <v>55.054299999999998</v>
      </c>
      <c r="AJ660">
        <v>-0.56674337387084961</v>
      </c>
      <c r="AK660">
        <v>0.44338276982307429</v>
      </c>
      <c r="AL660">
        <v>0.110327675</v>
      </c>
      <c r="AM660">
        <f>VLOOKUP(D660,[1]Sheet1!$C$1:$D$191,2,FALSE)</f>
        <v>84</v>
      </c>
    </row>
    <row r="661" spans="1:39" x14ac:dyDescent="0.35">
      <c r="A661">
        <v>2019</v>
      </c>
      <c r="B661" t="s">
        <v>87</v>
      </c>
      <c r="C661">
        <v>84</v>
      </c>
      <c r="D661" t="s">
        <v>287</v>
      </c>
      <c r="E661">
        <v>755254.00782329007</v>
      </c>
      <c r="F661">
        <v>90216846.570921034</v>
      </c>
      <c r="G661">
        <v>90972100.578744322</v>
      </c>
      <c r="H661">
        <v>215017545590.315</v>
      </c>
      <c r="I661">
        <v>228346006003.64801</v>
      </c>
      <c r="J661">
        <v>2.2406317687501683E-2</v>
      </c>
      <c r="K661">
        <v>6626.2608349496904</v>
      </c>
      <c r="L661">
        <v>5.0228629122751811E-3</v>
      </c>
      <c r="M661">
        <v>6593.1443745952602</v>
      </c>
      <c r="N661">
        <v>2.2521219135802699</v>
      </c>
      <c r="O661">
        <v>46.9435053754409</v>
      </c>
      <c r="P661">
        <v>44.724236894533597</v>
      </c>
      <c r="Q661">
        <v>20.6619118591877</v>
      </c>
      <c r="R661">
        <v>32449303</v>
      </c>
      <c r="S661">
        <v>1.7296576442905519E-2</v>
      </c>
      <c r="T661">
        <v>74.075999999999993</v>
      </c>
      <c r="U661">
        <v>6.6</v>
      </c>
      <c r="V661">
        <v>126.70725</v>
      </c>
      <c r="W661">
        <v>6.3546069999999997</v>
      </c>
      <c r="X661">
        <v>71.267570000000006</v>
      </c>
      <c r="Y661">
        <v>59.950499999999998</v>
      </c>
      <c r="AJ661">
        <v>-0.5200580358505249</v>
      </c>
      <c r="AK661">
        <v>0.51720225811004639</v>
      </c>
      <c r="AL661">
        <v>0.13345652499999999</v>
      </c>
      <c r="AM661">
        <f>VLOOKUP(D661,[1]Sheet1!$C$1:$D$191,2,FALSE)</f>
        <v>84</v>
      </c>
    </row>
    <row r="662" spans="1:39" x14ac:dyDescent="0.35">
      <c r="A662">
        <v>2020</v>
      </c>
      <c r="B662" t="s">
        <v>87</v>
      </c>
      <c r="C662">
        <v>84</v>
      </c>
      <c r="D662" t="s">
        <v>287</v>
      </c>
      <c r="E662">
        <v>285243.8683643</v>
      </c>
      <c r="F662">
        <v>83309963.909990832</v>
      </c>
      <c r="G662">
        <v>83595207.778355107</v>
      </c>
      <c r="H662">
        <v>191509018299.91699</v>
      </c>
      <c r="I662">
        <v>201409694755.93399</v>
      </c>
      <c r="J662">
        <v>-0.10933306501037886</v>
      </c>
      <c r="K662">
        <v>5831.8302475852097</v>
      </c>
      <c r="L662">
        <v>-0.1198912338576108</v>
      </c>
      <c r="M662">
        <v>6626.2608349496904</v>
      </c>
      <c r="N662">
        <v>2.0024120575929198</v>
      </c>
      <c r="O662">
        <v>44.245967197744001</v>
      </c>
      <c r="P662">
        <v>55.312409908320703</v>
      </c>
      <c r="Q662">
        <v>26.906540274766598</v>
      </c>
      <c r="R662">
        <v>32838579</v>
      </c>
      <c r="S662">
        <v>1.1996436410359877E-2</v>
      </c>
      <c r="T662">
        <v>65.099999999999994</v>
      </c>
      <c r="U662">
        <v>6.53</v>
      </c>
      <c r="V662">
        <v>124.29526</v>
      </c>
      <c r="W662">
        <v>5.0257909999999999</v>
      </c>
      <c r="X662">
        <v>71.427379999999999</v>
      </c>
      <c r="Y662">
        <v>65.251800000000003</v>
      </c>
      <c r="AJ662">
        <v>-0.38284352421760559</v>
      </c>
      <c r="AK662">
        <v>0.47126418352127081</v>
      </c>
      <c r="AL662">
        <v>0.10914550000000001</v>
      </c>
      <c r="AM662">
        <f>VLOOKUP(D662,[1]Sheet1!$C$1:$D$191,2,FALSE)</f>
        <v>84</v>
      </c>
    </row>
    <row r="663" spans="1:39" x14ac:dyDescent="0.35">
      <c r="A663">
        <v>2013</v>
      </c>
      <c r="B663" t="s">
        <v>88</v>
      </c>
      <c r="C663">
        <v>85</v>
      </c>
      <c r="D663" t="s">
        <v>288</v>
      </c>
      <c r="E663">
        <v>140556.5</v>
      </c>
      <c r="G663">
        <v>140556.5</v>
      </c>
      <c r="H663">
        <v>270952964514.55099</v>
      </c>
      <c r="I663">
        <v>283902828581.65002</v>
      </c>
      <c r="J663">
        <v>6.7505313039473547E-2</v>
      </c>
      <c r="K663">
        <v>2654.41506946871</v>
      </c>
      <c r="L663">
        <v>4.7626663406588748E-2</v>
      </c>
      <c r="M663">
        <v>2533.74141971272</v>
      </c>
      <c r="N663">
        <v>2.5826876614179501</v>
      </c>
      <c r="O663">
        <v>55.8247812334196</v>
      </c>
      <c r="P663">
        <v>34.3357279078663</v>
      </c>
      <c r="Q663">
        <v>13.2071519981188</v>
      </c>
      <c r="R663">
        <v>102076336</v>
      </c>
      <c r="S663">
        <v>1.8974936709083155E-2</v>
      </c>
      <c r="U663">
        <v>6.41</v>
      </c>
      <c r="V663">
        <v>21.925518</v>
      </c>
      <c r="W663">
        <v>3.2382789999999999</v>
      </c>
      <c r="X663">
        <v>43.37424</v>
      </c>
      <c r="Y663">
        <v>32.700000000000003</v>
      </c>
      <c r="Z663">
        <v>31.8704183328366</v>
      </c>
      <c r="AF663">
        <v>0</v>
      </c>
      <c r="AJ663">
        <v>-0.46900564432144171</v>
      </c>
      <c r="AK663">
        <v>2.314756810665131E-2</v>
      </c>
      <c r="AL663">
        <v>8.2618999999999991E-3</v>
      </c>
      <c r="AM663">
        <f>VLOOKUP(D663,[1]Sheet1!$C$1:$D$191,2,FALSE)</f>
        <v>85</v>
      </c>
    </row>
    <row r="664" spans="1:39" x14ac:dyDescent="0.35">
      <c r="A664">
        <v>2014</v>
      </c>
      <c r="B664" t="s">
        <v>88</v>
      </c>
      <c r="C664">
        <v>85</v>
      </c>
      <c r="D664" t="s">
        <v>288</v>
      </c>
      <c r="E664">
        <v>167904.63</v>
      </c>
      <c r="G664">
        <v>167904.63</v>
      </c>
      <c r="H664">
        <v>288153024779.42999</v>
      </c>
      <c r="I664">
        <v>297483555344.802</v>
      </c>
      <c r="J664">
        <v>6.3479874802976372E-2</v>
      </c>
      <c r="K664">
        <v>2776.9200591693102</v>
      </c>
      <c r="L664">
        <v>4.6151406805085664E-2</v>
      </c>
      <c r="M664">
        <v>2654.41506946871</v>
      </c>
      <c r="N664">
        <v>3.5978234386421102</v>
      </c>
      <c r="O664">
        <v>57.468172086289101</v>
      </c>
      <c r="P664">
        <v>37.5782838041087</v>
      </c>
      <c r="Q664">
        <v>12.8216477695435</v>
      </c>
      <c r="R664">
        <v>103767130</v>
      </c>
      <c r="S664">
        <v>1.6564015385505216E-2</v>
      </c>
      <c r="T664">
        <v>64.7</v>
      </c>
      <c r="U664">
        <v>6.77</v>
      </c>
      <c r="V664">
        <v>23.184318000000001</v>
      </c>
      <c r="W664">
        <v>3.4360240000000002</v>
      </c>
      <c r="X664">
        <v>45.15558</v>
      </c>
      <c r="Y664">
        <v>34.700000000000003</v>
      </c>
      <c r="Z664">
        <v>33.874192321479903</v>
      </c>
      <c r="AF664">
        <v>0</v>
      </c>
      <c r="AJ664">
        <v>-0.36952292919158941</v>
      </c>
      <c r="AK664">
        <v>7.7303528785705566E-2</v>
      </c>
      <c r="AL664">
        <v>2.2903475E-2</v>
      </c>
      <c r="AM664">
        <f>VLOOKUP(D664,[1]Sheet1!$C$1:$D$191,2,FALSE)</f>
        <v>85</v>
      </c>
    </row>
    <row r="665" spans="1:39" x14ac:dyDescent="0.35">
      <c r="A665">
        <v>2015</v>
      </c>
      <c r="B665" t="s">
        <v>88</v>
      </c>
      <c r="C665">
        <v>85</v>
      </c>
      <c r="D665" t="s">
        <v>288</v>
      </c>
      <c r="E665">
        <v>191032.019999999</v>
      </c>
      <c r="G665">
        <v>191032.019999999</v>
      </c>
      <c r="H665">
        <v>306445871246.71802</v>
      </c>
      <c r="I665">
        <v>306445871246.71802</v>
      </c>
      <c r="J665">
        <v>6.3483097153987852E-2</v>
      </c>
      <c r="K665">
        <v>2909.8581801447399</v>
      </c>
      <c r="L665">
        <v>4.7872505561142038E-2</v>
      </c>
      <c r="M665">
        <v>2776.9200591693102</v>
      </c>
      <c r="N665">
        <v>0.67419253684540803</v>
      </c>
      <c r="O665">
        <v>59.141592104461097</v>
      </c>
      <c r="P665">
        <v>39.903783574570099</v>
      </c>
      <c r="Q665">
        <v>13.476741115466501</v>
      </c>
      <c r="R665">
        <v>105312992</v>
      </c>
      <c r="S665">
        <v>1.4897415009936191E-2</v>
      </c>
      <c r="T665">
        <v>63.47</v>
      </c>
      <c r="U665">
        <v>6.84</v>
      </c>
      <c r="V665">
        <v>25.042999999999999</v>
      </c>
      <c r="W665">
        <v>3.4630540000000001</v>
      </c>
      <c r="X665">
        <v>46.006480000000003</v>
      </c>
      <c r="Y665">
        <v>36.9</v>
      </c>
      <c r="Z665">
        <v>35.874588781966402</v>
      </c>
      <c r="AF665">
        <v>0</v>
      </c>
      <c r="AJ665">
        <v>-0.41736829280853271</v>
      </c>
      <c r="AK665">
        <v>5.4170172661542892E-2</v>
      </c>
      <c r="AL665">
        <v>4.1507124999999999E-2</v>
      </c>
      <c r="AM665">
        <f>VLOOKUP(D665,[1]Sheet1!$C$1:$D$191,2,FALSE)</f>
        <v>85</v>
      </c>
    </row>
    <row r="666" spans="1:39" x14ac:dyDescent="0.35">
      <c r="A666">
        <v>2016</v>
      </c>
      <c r="B666" t="s">
        <v>88</v>
      </c>
      <c r="C666">
        <v>85</v>
      </c>
      <c r="D666" t="s">
        <v>288</v>
      </c>
      <c r="E666">
        <v>129786.1201667126</v>
      </c>
      <c r="G666">
        <v>129786.12016671256</v>
      </c>
      <c r="H666">
        <v>328355086282.44702</v>
      </c>
      <c r="I666">
        <v>318627003012.52002</v>
      </c>
      <c r="J666">
        <v>7.1494567528664815E-2</v>
      </c>
      <c r="K666">
        <v>3076.3374188021098</v>
      </c>
      <c r="L666">
        <v>5.7212148617184169E-2</v>
      </c>
      <c r="M666">
        <v>2909.8581801447399</v>
      </c>
      <c r="N666">
        <v>1.25369880080982</v>
      </c>
      <c r="O666">
        <v>61.776065766203601</v>
      </c>
      <c r="P666">
        <v>42.864517993386499</v>
      </c>
      <c r="Q666">
        <v>13.435149014915799</v>
      </c>
      <c r="R666">
        <v>106735719</v>
      </c>
      <c r="S666">
        <v>1.3509510773371628E-2</v>
      </c>
      <c r="T666">
        <v>63.11</v>
      </c>
      <c r="U666">
        <v>6.94</v>
      </c>
      <c r="V666">
        <v>27.041644999999999</v>
      </c>
      <c r="W666">
        <v>3.3924219999999998</v>
      </c>
      <c r="X666">
        <v>43.649560000000001</v>
      </c>
      <c r="Y666">
        <v>39.200000000000003</v>
      </c>
      <c r="Z666">
        <v>38.344741452551297</v>
      </c>
      <c r="AF666">
        <v>0</v>
      </c>
      <c r="AJ666">
        <v>-0.43153634667396551</v>
      </c>
      <c r="AK666">
        <v>0.1129244491457939</v>
      </c>
      <c r="AL666">
        <v>8.7400825000000001E-2</v>
      </c>
      <c r="AM666">
        <f>VLOOKUP(D666,[1]Sheet1!$C$1:$D$191,2,FALSE)</f>
        <v>85</v>
      </c>
    </row>
    <row r="667" spans="1:39" x14ac:dyDescent="0.35">
      <c r="A667">
        <v>2017</v>
      </c>
      <c r="B667" t="s">
        <v>88</v>
      </c>
      <c r="C667">
        <v>85</v>
      </c>
      <c r="D667" t="s">
        <v>288</v>
      </c>
      <c r="E667">
        <v>896790</v>
      </c>
      <c r="F667">
        <v>18391014</v>
      </c>
      <c r="G667">
        <v>19287804</v>
      </c>
      <c r="H667">
        <v>351113338977.94202</v>
      </c>
      <c r="I667">
        <v>328480736798.79199</v>
      </c>
      <c r="J667">
        <v>6.9309883252177268E-2</v>
      </c>
      <c r="K667">
        <v>3247.4503879505301</v>
      </c>
      <c r="L667">
        <v>5.5622302060431866E-2</v>
      </c>
      <c r="M667">
        <v>3076.3374188021098</v>
      </c>
      <c r="N667">
        <v>2.85318772590947</v>
      </c>
      <c r="O667">
        <v>68.1683697434961</v>
      </c>
      <c r="P667">
        <v>45.605197788386697</v>
      </c>
      <c r="Q667">
        <v>13.6131575685269</v>
      </c>
      <c r="R667">
        <v>108119693</v>
      </c>
      <c r="S667">
        <v>1.2966362272783303E-2</v>
      </c>
      <c r="T667">
        <v>65.647999999999996</v>
      </c>
      <c r="U667">
        <v>6.71</v>
      </c>
      <c r="V667">
        <v>28.135151</v>
      </c>
      <c r="W667">
        <v>3.5908120000000001</v>
      </c>
      <c r="X667">
        <v>45.88205</v>
      </c>
      <c r="Y667">
        <v>41.6</v>
      </c>
      <c r="Z667">
        <v>33.684101868234897</v>
      </c>
      <c r="AF667">
        <v>0</v>
      </c>
      <c r="AJ667">
        <v>-0.5012894868850708</v>
      </c>
      <c r="AK667">
        <v>0.1270816773176193</v>
      </c>
      <c r="AL667">
        <v>5.6035050000000003E-2</v>
      </c>
      <c r="AM667">
        <f>VLOOKUP(D667,[1]Sheet1!$C$1:$D$191,2,FALSE)</f>
        <v>85</v>
      </c>
    </row>
    <row r="668" spans="1:39" x14ac:dyDescent="0.35">
      <c r="A668">
        <v>2018</v>
      </c>
      <c r="B668" t="s">
        <v>88</v>
      </c>
      <c r="C668">
        <v>85</v>
      </c>
      <c r="D668" t="s">
        <v>288</v>
      </c>
      <c r="E668">
        <v>1263052.8181360001</v>
      </c>
      <c r="F668">
        <v>115281067.526374</v>
      </c>
      <c r="G668">
        <v>116544120.34451</v>
      </c>
      <c r="H668">
        <v>373379140707.047</v>
      </c>
      <c r="I668">
        <v>346841896583.51501</v>
      </c>
      <c r="J668">
        <v>6.3414855709893109E-2</v>
      </c>
      <c r="K668">
        <v>3410.9364798636798</v>
      </c>
      <c r="L668">
        <v>5.0342906706059336E-2</v>
      </c>
      <c r="M668">
        <v>3247.4503879505301</v>
      </c>
      <c r="N668">
        <v>5.3093466162770699</v>
      </c>
      <c r="O668">
        <v>72.163398299817501</v>
      </c>
      <c r="P668">
        <v>47.5627907974214</v>
      </c>
      <c r="Q668">
        <v>14.212559318198201</v>
      </c>
      <c r="R668">
        <v>109465287</v>
      </c>
      <c r="S668">
        <v>1.2445410846662319E-2</v>
      </c>
      <c r="U668">
        <v>6.71</v>
      </c>
      <c r="V668">
        <v>28.898986000000001</v>
      </c>
      <c r="W668">
        <v>3.5811570000000001</v>
      </c>
      <c r="X668">
        <v>45.830010000000001</v>
      </c>
      <c r="Y668">
        <v>44.1</v>
      </c>
      <c r="Z668">
        <v>28.116622859230802</v>
      </c>
      <c r="AF668">
        <v>0</v>
      </c>
      <c r="AJ668">
        <v>-0.56513547897338867</v>
      </c>
      <c r="AK668">
        <v>2.8766408562660221E-2</v>
      </c>
      <c r="AL668">
        <v>4.6319450000000012E-2</v>
      </c>
      <c r="AM668">
        <f>VLOOKUP(D668,[1]Sheet1!$C$1:$D$191,2,FALSE)</f>
        <v>85</v>
      </c>
    </row>
    <row r="669" spans="1:39" x14ac:dyDescent="0.35">
      <c r="A669">
        <v>2019</v>
      </c>
      <c r="B669" t="s">
        <v>88</v>
      </c>
      <c r="C669">
        <v>85</v>
      </c>
      <c r="D669" t="s">
        <v>288</v>
      </c>
      <c r="E669">
        <v>225008.09158928</v>
      </c>
      <c r="F669">
        <v>270039114.83030051</v>
      </c>
      <c r="G669">
        <v>270264122.92188978</v>
      </c>
      <c r="H669">
        <v>396224439244.71997</v>
      </c>
      <c r="I669">
        <v>376823402244.92798</v>
      </c>
      <c r="J669">
        <v>6.1185256611850682E-2</v>
      </c>
      <c r="K669">
        <v>3575.8817093021198</v>
      </c>
      <c r="L669">
        <v>4.8357754655411284E-2</v>
      </c>
      <c r="M669">
        <v>3410.9364798636798</v>
      </c>
      <c r="N669">
        <v>2.39206534422404</v>
      </c>
      <c r="O669">
        <v>68.841842258509701</v>
      </c>
      <c r="P669">
        <v>47.973668663576298</v>
      </c>
      <c r="Q669">
        <v>14.8359837062188</v>
      </c>
      <c r="R669">
        <v>110804683</v>
      </c>
      <c r="S669">
        <v>1.223580585871026E-2</v>
      </c>
      <c r="U669">
        <v>6.64</v>
      </c>
      <c r="V669">
        <v>28.975432000000001</v>
      </c>
      <c r="W669">
        <v>3.930733</v>
      </c>
      <c r="X669">
        <v>45.507849999999998</v>
      </c>
      <c r="Y669">
        <v>43.026600000000002</v>
      </c>
      <c r="Z669">
        <v>30.054868011036501</v>
      </c>
      <c r="AF669">
        <v>0</v>
      </c>
      <c r="AJ669">
        <v>-0.57440197467803955</v>
      </c>
      <c r="AK669">
        <v>0.10019960999488831</v>
      </c>
      <c r="AL669">
        <v>4.0251099999999998E-2</v>
      </c>
      <c r="AM669">
        <f>VLOOKUP(D669,[1]Sheet1!$C$1:$D$191,2,FALSE)</f>
        <v>85</v>
      </c>
    </row>
    <row r="670" spans="1:39" x14ac:dyDescent="0.35">
      <c r="A670">
        <v>2020</v>
      </c>
      <c r="B670" t="s">
        <v>88</v>
      </c>
      <c r="C670">
        <v>85</v>
      </c>
      <c r="D670" t="s">
        <v>288</v>
      </c>
      <c r="E670">
        <v>838367.69658309</v>
      </c>
      <c r="F670">
        <v>64285272.618924104</v>
      </c>
      <c r="G670">
        <v>65123640.315507196</v>
      </c>
      <c r="H670">
        <v>358510629282.922</v>
      </c>
      <c r="I670">
        <v>361751145451.59698</v>
      </c>
      <c r="J670">
        <v>-9.518294740649455E-2</v>
      </c>
      <c r="K670">
        <v>3198.6669001424002</v>
      </c>
      <c r="L670">
        <v>-0.10548861506756554</v>
      </c>
      <c r="M670">
        <v>3575.8817093021198</v>
      </c>
      <c r="N670">
        <v>2.3931623931624002</v>
      </c>
      <c r="O670">
        <v>58.169560302228099</v>
      </c>
      <c r="P670">
        <v>52.035691400360101</v>
      </c>
      <c r="Q670">
        <v>19.560302924463901</v>
      </c>
      <c r="R670">
        <v>112081264</v>
      </c>
      <c r="S670">
        <v>1.152100223056457E-2</v>
      </c>
      <c r="U670">
        <v>6.56</v>
      </c>
      <c r="V670">
        <v>29.716934999999999</v>
      </c>
      <c r="W670">
        <v>4.348859</v>
      </c>
      <c r="X670">
        <v>46.682110000000002</v>
      </c>
      <c r="Y670">
        <v>53.764899999999997</v>
      </c>
      <c r="Z670">
        <v>31.631759850708502</v>
      </c>
      <c r="AF670">
        <v>0</v>
      </c>
      <c r="AJ670">
        <v>-0.65207010507583618</v>
      </c>
      <c r="AK670">
        <v>0.11315667629241941</v>
      </c>
      <c r="AL670">
        <v>5.9136275000000002E-2</v>
      </c>
      <c r="AM670">
        <f>VLOOKUP(D670,[1]Sheet1!$C$1:$D$191,2,FALSE)</f>
        <v>85</v>
      </c>
    </row>
    <row r="671" spans="1:39" x14ac:dyDescent="0.35">
      <c r="A671">
        <v>2013</v>
      </c>
      <c r="B671" t="s">
        <v>89</v>
      </c>
      <c r="C671">
        <v>86</v>
      </c>
      <c r="D671" t="s">
        <v>351</v>
      </c>
      <c r="E671">
        <v>59375</v>
      </c>
      <c r="G671">
        <v>59375</v>
      </c>
      <c r="H671">
        <v>105730285936.28</v>
      </c>
      <c r="I671">
        <v>102450000000</v>
      </c>
      <c r="J671">
        <v>-3.0682665709981854E-3</v>
      </c>
      <c r="K671">
        <v>29426.111919193499</v>
      </c>
      <c r="L671">
        <v>8.4215901765830551E-3</v>
      </c>
      <c r="M671">
        <v>29180.366828561</v>
      </c>
      <c r="O671">
        <v>104.89224011713</v>
      </c>
      <c r="R671">
        <v>3593077</v>
      </c>
      <c r="S671">
        <v>-1.1393901974638519E-2</v>
      </c>
      <c r="V671">
        <v>0</v>
      </c>
      <c r="W671">
        <v>0</v>
      </c>
      <c r="X671">
        <v>0</v>
      </c>
      <c r="Y671">
        <v>69</v>
      </c>
      <c r="Z671">
        <v>95.3715682046859</v>
      </c>
      <c r="AJ671">
        <v>0.66773742437362671</v>
      </c>
      <c r="AK671">
        <v>0.84747201204299927</v>
      </c>
      <c r="AM671">
        <f>VLOOKUP(D671,[1]Sheet1!$C$1:$D$191,2,FALSE)</f>
        <v>86</v>
      </c>
    </row>
    <row r="672" spans="1:39" x14ac:dyDescent="0.35">
      <c r="A672">
        <v>2014</v>
      </c>
      <c r="B672" t="s">
        <v>89</v>
      </c>
      <c r="C672">
        <v>86</v>
      </c>
      <c r="D672" t="s">
        <v>351</v>
      </c>
      <c r="E672">
        <v>100366</v>
      </c>
      <c r="G672">
        <v>100366</v>
      </c>
      <c r="H672">
        <v>104471711252.84</v>
      </c>
      <c r="I672">
        <v>102445800000</v>
      </c>
      <c r="J672">
        <v>-1.1903634538532337E-2</v>
      </c>
      <c r="K672">
        <v>29554.578537407499</v>
      </c>
      <c r="L672">
        <v>4.3657353906210519E-3</v>
      </c>
      <c r="M672">
        <v>29426.111919193499</v>
      </c>
      <c r="O672">
        <v>102.38545650480501</v>
      </c>
      <c r="R672">
        <v>3534874</v>
      </c>
      <c r="S672">
        <v>-1.6198650905616552E-2</v>
      </c>
      <c r="V672">
        <v>0</v>
      </c>
      <c r="W672">
        <v>0</v>
      </c>
      <c r="X672">
        <v>0</v>
      </c>
      <c r="Y672">
        <v>76.133899999999997</v>
      </c>
      <c r="Z672">
        <v>97.201655710548906</v>
      </c>
      <c r="AJ672">
        <v>0.76602840423583984</v>
      </c>
      <c r="AK672">
        <v>0.89039701223373413</v>
      </c>
      <c r="AM672">
        <f>VLOOKUP(D672,[1]Sheet1!$C$1:$D$191,2,FALSE)</f>
        <v>86</v>
      </c>
    </row>
    <row r="673" spans="1:39" x14ac:dyDescent="0.35">
      <c r="A673">
        <v>2015</v>
      </c>
      <c r="B673" t="s">
        <v>89</v>
      </c>
      <c r="C673">
        <v>86</v>
      </c>
      <c r="D673" t="s">
        <v>351</v>
      </c>
      <c r="E673">
        <v>120552</v>
      </c>
      <c r="G673">
        <v>120552</v>
      </c>
      <c r="H673">
        <v>103375500000</v>
      </c>
      <c r="I673">
        <v>103375500000</v>
      </c>
      <c r="J673">
        <v>-1.0492900323868262E-2</v>
      </c>
      <c r="K673">
        <v>29763.4883013861</v>
      </c>
      <c r="L673">
        <v>7.0686091400079488E-3</v>
      </c>
      <c r="M673">
        <v>29554.578537407499</v>
      </c>
      <c r="O673">
        <v>108.88063419282101</v>
      </c>
      <c r="R673">
        <v>3473232</v>
      </c>
      <c r="S673">
        <v>-1.7438245323595693E-2</v>
      </c>
      <c r="T673">
        <v>15.66</v>
      </c>
      <c r="V673">
        <v>0</v>
      </c>
      <c r="W673">
        <v>0</v>
      </c>
      <c r="X673">
        <v>0</v>
      </c>
      <c r="Y673">
        <v>63.466299999999997</v>
      </c>
      <c r="Z673">
        <v>100.706557185143</v>
      </c>
      <c r="AJ673">
        <v>0.71679794788360596</v>
      </c>
      <c r="AK673">
        <v>0.97189664840698242</v>
      </c>
      <c r="AM673">
        <f>VLOOKUP(D673,[1]Sheet1!$C$1:$D$191,2,FALSE)</f>
        <v>86</v>
      </c>
    </row>
    <row r="674" spans="1:39" x14ac:dyDescent="0.35">
      <c r="A674">
        <v>2016</v>
      </c>
      <c r="B674" t="s">
        <v>89</v>
      </c>
      <c r="C674">
        <v>86</v>
      </c>
      <c r="D674" t="s">
        <v>351</v>
      </c>
      <c r="E674">
        <v>63878.69</v>
      </c>
      <c r="G674">
        <v>63878.69</v>
      </c>
      <c r="H674">
        <v>102069149649.478</v>
      </c>
      <c r="I674">
        <v>104336700000</v>
      </c>
      <c r="J674">
        <v>-1.2636943478116218E-2</v>
      </c>
      <c r="K674">
        <v>29961.543010151399</v>
      </c>
      <c r="L674">
        <v>6.6542841605053372E-3</v>
      </c>
      <c r="M674">
        <v>29763.4883013861</v>
      </c>
      <c r="O674">
        <v>110.274045470098</v>
      </c>
      <c r="R674">
        <v>3406672</v>
      </c>
      <c r="S674">
        <v>-1.9163706887417829E-2</v>
      </c>
      <c r="V674">
        <v>0</v>
      </c>
      <c r="W674">
        <v>0</v>
      </c>
      <c r="X674">
        <v>0</v>
      </c>
      <c r="Y674">
        <v>68.643799999999999</v>
      </c>
      <c r="Z674">
        <v>100.64340616633601</v>
      </c>
      <c r="AJ674">
        <v>0.62927180528640747</v>
      </c>
      <c r="AK674">
        <v>0.93909710645675659</v>
      </c>
      <c r="AM674">
        <f>VLOOKUP(D674,[1]Sheet1!$C$1:$D$191,2,FALSE)</f>
        <v>86</v>
      </c>
    </row>
    <row r="675" spans="1:39" x14ac:dyDescent="0.35">
      <c r="A675">
        <v>2017</v>
      </c>
      <c r="B675" t="s">
        <v>89</v>
      </c>
      <c r="C675">
        <v>86</v>
      </c>
      <c r="D675" t="s">
        <v>351</v>
      </c>
      <c r="E675">
        <v>13102075.5</v>
      </c>
      <c r="F675">
        <v>19140204</v>
      </c>
      <c r="G675">
        <v>32242279.5</v>
      </c>
      <c r="H675">
        <v>99124231779.414703</v>
      </c>
      <c r="I675">
        <v>103445500000</v>
      </c>
      <c r="J675">
        <v>-2.8852183839844055E-2</v>
      </c>
      <c r="K675">
        <v>29809.234988934699</v>
      </c>
      <c r="L675">
        <v>-5.0834505140505094E-3</v>
      </c>
      <c r="M675">
        <v>29961.543010151399</v>
      </c>
      <c r="O675">
        <v>113.131649032582</v>
      </c>
      <c r="R675">
        <v>3325286</v>
      </c>
      <c r="S675">
        <v>-2.3890177862735243E-2</v>
      </c>
      <c r="V675">
        <v>0</v>
      </c>
      <c r="W675">
        <v>0</v>
      </c>
      <c r="X675">
        <v>0</v>
      </c>
      <c r="Y675">
        <v>68.740799999999993</v>
      </c>
      <c r="Z675">
        <v>100.739404309645</v>
      </c>
      <c r="AJ675">
        <v>0.59424334764480591</v>
      </c>
      <c r="AK675">
        <v>0.8595048189163208</v>
      </c>
      <c r="AM675">
        <f>VLOOKUP(D675,[1]Sheet1!$C$1:$D$191,2,FALSE)</f>
        <v>86</v>
      </c>
    </row>
    <row r="676" spans="1:39" x14ac:dyDescent="0.35">
      <c r="A676">
        <v>2018</v>
      </c>
      <c r="B676" t="s">
        <v>89</v>
      </c>
      <c r="C676">
        <v>86</v>
      </c>
      <c r="D676" t="s">
        <v>351</v>
      </c>
      <c r="E676">
        <v>3145092.66</v>
      </c>
      <c r="F676">
        <v>202000</v>
      </c>
      <c r="G676">
        <v>3347092.66</v>
      </c>
      <c r="H676">
        <v>94801000739.696396</v>
      </c>
      <c r="I676">
        <v>100958100000</v>
      </c>
      <c r="J676">
        <v>-4.3614270316252986E-2</v>
      </c>
      <c r="K676">
        <v>29686.968854595001</v>
      </c>
      <c r="L676">
        <v>-4.1016193265302932E-3</v>
      </c>
      <c r="M676">
        <v>29809.234988934699</v>
      </c>
      <c r="O676">
        <v>106.001103428056</v>
      </c>
      <c r="R676">
        <v>3193354</v>
      </c>
      <c r="S676">
        <v>-3.9675384312807982E-2</v>
      </c>
      <c r="V676">
        <v>0</v>
      </c>
      <c r="W676">
        <v>0</v>
      </c>
      <c r="X676">
        <v>0</v>
      </c>
      <c r="Y676">
        <v>70.856399999999994</v>
      </c>
      <c r="Z676">
        <v>107.502380763432</v>
      </c>
      <c r="AJ676">
        <v>0.55661046504974365</v>
      </c>
      <c r="AK676">
        <v>0.93773871660232544</v>
      </c>
      <c r="AM676">
        <f>VLOOKUP(D676,[1]Sheet1!$C$1:$D$191,2,FALSE)</f>
        <v>86</v>
      </c>
    </row>
    <row r="677" spans="1:39" x14ac:dyDescent="0.35">
      <c r="A677">
        <v>2019</v>
      </c>
      <c r="B677" t="s">
        <v>89</v>
      </c>
      <c r="C677">
        <v>86</v>
      </c>
      <c r="D677" t="s">
        <v>351</v>
      </c>
      <c r="E677">
        <v>60720</v>
      </c>
      <c r="F677">
        <v>278000</v>
      </c>
      <c r="G677">
        <v>338720</v>
      </c>
      <c r="H677">
        <v>96389357184.370697</v>
      </c>
      <c r="I677">
        <v>105126400000</v>
      </c>
      <c r="J677">
        <v>1.6754637949820739E-2</v>
      </c>
      <c r="K677">
        <v>30181.149848536101</v>
      </c>
      <c r="L677">
        <v>1.6646394462215681E-2</v>
      </c>
      <c r="M677">
        <v>29686.968854595001</v>
      </c>
      <c r="O677">
        <v>107.57145683672201</v>
      </c>
      <c r="R677">
        <v>3193694</v>
      </c>
      <c r="S677">
        <v>1.0647112722234991E-4</v>
      </c>
      <c r="V677">
        <v>0</v>
      </c>
      <c r="W677">
        <v>0</v>
      </c>
      <c r="X677">
        <v>0</v>
      </c>
      <c r="Y677">
        <v>77.736400000000003</v>
      </c>
      <c r="Z677">
        <v>95.691495012119603</v>
      </c>
      <c r="AJ677">
        <v>0.55881583690643311</v>
      </c>
      <c r="AK677">
        <v>0.72241663932800293</v>
      </c>
      <c r="AM677">
        <f>VLOOKUP(D677,[1]Sheet1!$C$1:$D$191,2,FALSE)</f>
        <v>86</v>
      </c>
    </row>
    <row r="678" spans="1:39" x14ac:dyDescent="0.35">
      <c r="A678">
        <v>2020</v>
      </c>
      <c r="B678" t="s">
        <v>89</v>
      </c>
      <c r="C678">
        <v>86</v>
      </c>
      <c r="D678" t="s">
        <v>351</v>
      </c>
      <c r="E678">
        <v>259793.07327841999</v>
      </c>
      <c r="F678">
        <v>1184852.2035999999</v>
      </c>
      <c r="G678">
        <v>1444645.27687842</v>
      </c>
      <c r="H678">
        <v>92359439312.916595</v>
      </c>
      <c r="I678">
        <v>103130900000</v>
      </c>
      <c r="J678">
        <v>-4.180874309334582E-2</v>
      </c>
      <c r="K678">
        <v>28145.005347436199</v>
      </c>
      <c r="L678">
        <v>-6.7464112908828158E-2</v>
      </c>
      <c r="M678">
        <v>30181.149848536101</v>
      </c>
      <c r="O678">
        <v>103.509811317462</v>
      </c>
      <c r="R678">
        <v>3281557</v>
      </c>
      <c r="S678">
        <v>2.7511402156875392E-2</v>
      </c>
      <c r="V678">
        <v>0</v>
      </c>
      <c r="W678">
        <v>0</v>
      </c>
      <c r="X678">
        <v>0</v>
      </c>
      <c r="Z678">
        <v>88.414853869933793</v>
      </c>
      <c r="AJ678">
        <v>0.60516059398651123</v>
      </c>
      <c r="AK678">
        <v>0.78404819965362549</v>
      </c>
      <c r="AM678">
        <f>VLOOKUP(D678,[1]Sheet1!$C$1:$D$191,2,FALSE)</f>
        <v>86</v>
      </c>
    </row>
    <row r="679" spans="1:39" x14ac:dyDescent="0.35">
      <c r="A679">
        <v>2013</v>
      </c>
      <c r="B679" t="s">
        <v>90</v>
      </c>
      <c r="C679">
        <v>87</v>
      </c>
      <c r="D679" t="s">
        <v>352</v>
      </c>
      <c r="E679">
        <v>1000000</v>
      </c>
      <c r="G679">
        <v>1000000</v>
      </c>
      <c r="H679">
        <v>146581616623.746</v>
      </c>
      <c r="I679">
        <v>198727642967.03299</v>
      </c>
      <c r="J679">
        <v>5.5560406430663248E-2</v>
      </c>
      <c r="K679">
        <v>76486.969297925301</v>
      </c>
      <c r="L679">
        <v>-5.1287471923458644E-2</v>
      </c>
      <c r="M679">
        <v>80621.860715804098</v>
      </c>
      <c r="N679">
        <v>3.2219775682929299</v>
      </c>
      <c r="O679">
        <v>102.383208106327</v>
      </c>
      <c r="P679">
        <v>40.0053399938718</v>
      </c>
      <c r="R679">
        <v>1916426</v>
      </c>
      <c r="S679">
        <v>0.11262408284071763</v>
      </c>
      <c r="T679">
        <v>90.6</v>
      </c>
      <c r="U679">
        <v>3.18</v>
      </c>
      <c r="V679">
        <v>57.072364999999998</v>
      </c>
      <c r="W679">
        <v>2.9665110000000001</v>
      </c>
      <c r="X679">
        <v>89.630070000000003</v>
      </c>
      <c r="Y679">
        <v>85.3</v>
      </c>
      <c r="Z679">
        <v>14.870729520909499</v>
      </c>
      <c r="AA679">
        <v>2022</v>
      </c>
      <c r="AC679">
        <v>0</v>
      </c>
      <c r="AF679">
        <v>0</v>
      </c>
      <c r="AJ679">
        <v>0.95216047763824463</v>
      </c>
      <c r="AK679">
        <v>0.74128031730651855</v>
      </c>
      <c r="AL679">
        <v>2.064245E-2</v>
      </c>
      <c r="AM679">
        <f>VLOOKUP(D679,[1]Sheet1!$C$1:$D$191,2,FALSE)</f>
        <v>87</v>
      </c>
    </row>
    <row r="680" spans="1:39" x14ac:dyDescent="0.35">
      <c r="A680">
        <v>2014</v>
      </c>
      <c r="B680" t="s">
        <v>90</v>
      </c>
      <c r="C680">
        <v>87</v>
      </c>
      <c r="D680" t="s">
        <v>352</v>
      </c>
      <c r="E680">
        <v>2500000</v>
      </c>
      <c r="G680">
        <v>2500000</v>
      </c>
      <c r="H680">
        <v>154400753941.04501</v>
      </c>
      <c r="I680">
        <v>206224598571.42899</v>
      </c>
      <c r="J680">
        <v>5.3343232919647869E-2</v>
      </c>
      <c r="K680">
        <v>71756.064933830203</v>
      </c>
      <c r="L680">
        <v>-6.1852422805088493E-2</v>
      </c>
      <c r="M680">
        <v>76486.969297925301</v>
      </c>
      <c r="N680">
        <v>3.3497208565952299</v>
      </c>
      <c r="O680">
        <v>99.034374741431705</v>
      </c>
      <c r="P680">
        <v>46.096808613040999</v>
      </c>
      <c r="R680">
        <v>2151745</v>
      </c>
      <c r="S680">
        <v>0.12279054865671829</v>
      </c>
      <c r="T680">
        <v>100</v>
      </c>
      <c r="U680">
        <v>3.18</v>
      </c>
      <c r="V680">
        <v>56.38015</v>
      </c>
      <c r="W680">
        <v>2.771868</v>
      </c>
      <c r="X680">
        <v>91.583820000000003</v>
      </c>
      <c r="Y680">
        <v>91.49</v>
      </c>
      <c r="Z680">
        <v>17.306361312693198</v>
      </c>
      <c r="AA680">
        <v>2022</v>
      </c>
      <c r="AC680">
        <v>0</v>
      </c>
      <c r="AF680">
        <v>0</v>
      </c>
      <c r="AJ680">
        <v>0.86229312419891357</v>
      </c>
      <c r="AK680">
        <v>0.56962156295776367</v>
      </c>
      <c r="AL680">
        <v>1.543605E-2</v>
      </c>
      <c r="AM680">
        <f>VLOOKUP(D680,[1]Sheet1!$C$1:$D$191,2,FALSE)</f>
        <v>87</v>
      </c>
    </row>
    <row r="681" spans="1:39" x14ac:dyDescent="0.35">
      <c r="A681">
        <v>2015</v>
      </c>
      <c r="B681" t="s">
        <v>90</v>
      </c>
      <c r="C681">
        <v>87</v>
      </c>
      <c r="D681" t="s">
        <v>352</v>
      </c>
      <c r="E681">
        <v>5000000</v>
      </c>
      <c r="G681">
        <v>5000000</v>
      </c>
      <c r="H681">
        <v>161739955576.923</v>
      </c>
      <c r="I681">
        <v>161739955576.923</v>
      </c>
      <c r="J681">
        <v>4.7533457243870231E-2</v>
      </c>
      <c r="K681">
        <v>68985.294696150697</v>
      </c>
      <c r="L681">
        <v>-3.8613742827656027E-2</v>
      </c>
      <c r="M681">
        <v>71756.064933830203</v>
      </c>
      <c r="N681">
        <v>1.8140772393775999</v>
      </c>
      <c r="O681">
        <v>93.707604173635701</v>
      </c>
      <c r="P681">
        <v>70.842480122128293</v>
      </c>
      <c r="R681">
        <v>2344557</v>
      </c>
      <c r="S681">
        <v>8.9607272237184232E-2</v>
      </c>
      <c r="T681">
        <v>92.92</v>
      </c>
      <c r="U681">
        <v>3.18</v>
      </c>
      <c r="V681">
        <v>57.855936</v>
      </c>
      <c r="W681">
        <v>2.5466199999999999</v>
      </c>
      <c r="X681">
        <v>89.243229999999997</v>
      </c>
      <c r="Y681">
        <v>92.884799999999998</v>
      </c>
      <c r="Z681">
        <v>15.9339905308662</v>
      </c>
      <c r="AA681">
        <v>2022</v>
      </c>
      <c r="AC681">
        <v>0</v>
      </c>
      <c r="AF681">
        <v>0</v>
      </c>
      <c r="AJ681">
        <v>0.7444034218788147</v>
      </c>
      <c r="AK681">
        <v>0.66183924674987793</v>
      </c>
      <c r="AL681">
        <v>8.6472999999999984E-3</v>
      </c>
      <c r="AM681">
        <f>VLOOKUP(D681,[1]Sheet1!$C$1:$D$191,2,FALSE)</f>
        <v>87</v>
      </c>
    </row>
    <row r="682" spans="1:39" x14ac:dyDescent="0.35">
      <c r="A682">
        <v>2018</v>
      </c>
      <c r="B682" t="s">
        <v>90</v>
      </c>
      <c r="C682">
        <v>87</v>
      </c>
      <c r="D682" t="s">
        <v>352</v>
      </c>
      <c r="E682">
        <v>2722</v>
      </c>
      <c r="G682">
        <v>2722</v>
      </c>
      <c r="H682">
        <v>166227185730.26501</v>
      </c>
      <c r="I682">
        <v>183334953818.681</v>
      </c>
      <c r="J682">
        <v>1.2348722019109335E-2</v>
      </c>
      <c r="K682">
        <v>64410.817128098097</v>
      </c>
      <c r="L682">
        <v>-1.3470495251800638E-3</v>
      </c>
      <c r="M682">
        <v>64497.698722537498</v>
      </c>
      <c r="N682">
        <v>0.25581538272440801</v>
      </c>
      <c r="O682">
        <v>91.838448978201001</v>
      </c>
      <c r="P682">
        <v>80.436839817089705</v>
      </c>
      <c r="R682">
        <v>2580734</v>
      </c>
      <c r="S682">
        <v>1.3714245311923074E-2</v>
      </c>
      <c r="U682">
        <v>3.19</v>
      </c>
      <c r="V682">
        <v>55.550449999999998</v>
      </c>
      <c r="W682">
        <v>2.3972889999999998</v>
      </c>
      <c r="X682">
        <v>92.140619999999998</v>
      </c>
      <c r="Y682">
        <v>99.652799999999999</v>
      </c>
      <c r="Z682">
        <v>17.445825085757502</v>
      </c>
      <c r="AA682">
        <v>2022</v>
      </c>
      <c r="AC682">
        <v>0</v>
      </c>
      <c r="AF682">
        <v>0</v>
      </c>
      <c r="AJ682">
        <v>0.70527487993240356</v>
      </c>
      <c r="AK682">
        <v>0.58752936124801636</v>
      </c>
      <c r="AL682">
        <v>3.6397699999999998E-2</v>
      </c>
      <c r="AM682">
        <f>VLOOKUP(D682,[1]Sheet1!$C$1:$D$191,2,FALSE)</f>
        <v>87</v>
      </c>
    </row>
    <row r="683" spans="1:39" x14ac:dyDescent="0.35">
      <c r="A683">
        <v>2020</v>
      </c>
      <c r="B683" t="s">
        <v>90</v>
      </c>
      <c r="C683">
        <v>87</v>
      </c>
      <c r="D683" t="s">
        <v>352</v>
      </c>
      <c r="E683">
        <v>20785.429258749999</v>
      </c>
      <c r="G683">
        <v>20785.429258750002</v>
      </c>
      <c r="H683">
        <v>161416823761.20999</v>
      </c>
      <c r="I683">
        <v>144411363345.26999</v>
      </c>
      <c r="J683">
        <v>-3.5576039990950901E-2</v>
      </c>
      <c r="K683">
        <v>57769.604101575998</v>
      </c>
      <c r="L683">
        <v>-8.9245081847630289E-2</v>
      </c>
      <c r="M683">
        <v>63430.460764101103</v>
      </c>
      <c r="N683">
        <v>-2.5403150300476001</v>
      </c>
      <c r="O683">
        <v>90.019094887286002</v>
      </c>
      <c r="P683">
        <v>138.85784295342799</v>
      </c>
      <c r="R683">
        <v>2794148</v>
      </c>
      <c r="S683">
        <v>5.8928083490957711E-2</v>
      </c>
      <c r="T683">
        <v>91.57</v>
      </c>
      <c r="U683">
        <v>3.24</v>
      </c>
      <c r="V683">
        <v>53.655270000000002</v>
      </c>
      <c r="W683">
        <v>2.3410090000000001</v>
      </c>
      <c r="X683">
        <v>92.494020000000006</v>
      </c>
      <c r="Y683">
        <v>99.652799999999999</v>
      </c>
      <c r="Z683">
        <v>23.764921231476301</v>
      </c>
      <c r="AA683">
        <v>2022</v>
      </c>
      <c r="AC683">
        <v>0</v>
      </c>
      <c r="AF683">
        <v>0</v>
      </c>
      <c r="AJ683">
        <v>0.9806746244430542</v>
      </c>
      <c r="AK683">
        <v>0.84167933464050293</v>
      </c>
      <c r="AL683">
        <v>3.9946574999999998E-2</v>
      </c>
      <c r="AM683">
        <f>VLOOKUP(D683,[1]Sheet1!$C$1:$D$191,2,FALSE)</f>
        <v>87</v>
      </c>
    </row>
    <row r="684" spans="1:39" x14ac:dyDescent="0.35">
      <c r="A684">
        <v>2013</v>
      </c>
      <c r="B684" t="s">
        <v>91</v>
      </c>
      <c r="C684">
        <v>88</v>
      </c>
      <c r="D684" t="s">
        <v>289</v>
      </c>
      <c r="E684">
        <v>1394.5333499999999</v>
      </c>
      <c r="G684">
        <v>1394.5333499999999</v>
      </c>
      <c r="H684">
        <v>165624017079.63901</v>
      </c>
      <c r="I684">
        <v>189798603751.23499</v>
      </c>
      <c r="J684">
        <v>2.7877187746995317E-3</v>
      </c>
      <c r="K684">
        <v>8287.9584408967603</v>
      </c>
      <c r="L684">
        <v>6.5182226705108592E-3</v>
      </c>
      <c r="M684">
        <v>8234.2855342519397</v>
      </c>
      <c r="N684">
        <v>3.9847123554813</v>
      </c>
      <c r="O684">
        <v>81.397613174718302</v>
      </c>
      <c r="P684">
        <v>34.169650530370397</v>
      </c>
      <c r="Q684">
        <v>32.025714258573799</v>
      </c>
      <c r="R684">
        <v>19983693</v>
      </c>
      <c r="S684">
        <v>-3.7063451130681544E-3</v>
      </c>
      <c r="T684">
        <v>34.715000000000003</v>
      </c>
      <c r="U684">
        <v>6.54</v>
      </c>
      <c r="V684">
        <v>63.897084999999997</v>
      </c>
      <c r="W684">
        <v>4.0643330000000004</v>
      </c>
      <c r="X684">
        <v>56.871510000000001</v>
      </c>
      <c r="Y684">
        <v>49.764499999999998</v>
      </c>
      <c r="Z684">
        <v>51.382610321044901</v>
      </c>
      <c r="AA684">
        <v>2018</v>
      </c>
      <c r="AB684">
        <v>2019</v>
      </c>
      <c r="AC684">
        <v>0</v>
      </c>
      <c r="AD684">
        <v>0</v>
      </c>
      <c r="AE684">
        <v>1</v>
      </c>
      <c r="AF684">
        <v>1</v>
      </c>
      <c r="AJ684">
        <v>0.1902152597904205</v>
      </c>
      <c r="AK684">
        <v>0.63441473245620728</v>
      </c>
      <c r="AL684">
        <v>0.12250510000000001</v>
      </c>
      <c r="AM684">
        <f>VLOOKUP(D684,[1]Sheet1!$C$1:$D$191,2,FALSE)</f>
        <v>88</v>
      </c>
    </row>
    <row r="685" spans="1:39" x14ac:dyDescent="0.35">
      <c r="A685">
        <v>2014</v>
      </c>
      <c r="B685" t="s">
        <v>91</v>
      </c>
      <c r="C685">
        <v>88</v>
      </c>
      <c r="D685" t="s">
        <v>289</v>
      </c>
      <c r="E685">
        <v>5347.3332499999997</v>
      </c>
      <c r="G685">
        <v>5347.3332499999997</v>
      </c>
      <c r="H685">
        <v>172441103432.375</v>
      </c>
      <c r="I685">
        <v>199722319675.741</v>
      </c>
      <c r="J685">
        <v>4.1160010926785152E-2</v>
      </c>
      <c r="K685">
        <v>8661.4739727424094</v>
      </c>
      <c r="L685">
        <v>4.5067254440194146E-2</v>
      </c>
      <c r="M685">
        <v>8287.9584408967603</v>
      </c>
      <c r="N685">
        <v>1.06830987684298</v>
      </c>
      <c r="O685">
        <v>83.375142957520097</v>
      </c>
      <c r="P685">
        <v>31.085760270442002</v>
      </c>
      <c r="Q685">
        <v>32.441602320209903</v>
      </c>
      <c r="R685">
        <v>19908979</v>
      </c>
      <c r="S685">
        <v>-3.7387483884985624E-3</v>
      </c>
      <c r="T685">
        <v>36.643999999999998</v>
      </c>
      <c r="U685">
        <v>6.68</v>
      </c>
      <c r="V685">
        <v>65.124056999999993</v>
      </c>
      <c r="W685">
        <v>3.5439620000000001</v>
      </c>
      <c r="X685">
        <v>59.010669999999998</v>
      </c>
      <c r="Y685">
        <v>54.078299999999999</v>
      </c>
      <c r="Z685">
        <v>51.095039367675803</v>
      </c>
      <c r="AA685">
        <v>2018</v>
      </c>
      <c r="AB685">
        <v>2019</v>
      </c>
      <c r="AC685">
        <v>0</v>
      </c>
      <c r="AD685">
        <v>0</v>
      </c>
      <c r="AE685">
        <v>1</v>
      </c>
      <c r="AF685">
        <v>1</v>
      </c>
      <c r="AJ685">
        <v>0.24215574562549591</v>
      </c>
      <c r="AK685">
        <v>0.60080534219741821</v>
      </c>
      <c r="AL685">
        <v>8.4086450000000007E-2</v>
      </c>
      <c r="AM685">
        <f>VLOOKUP(D685,[1]Sheet1!$C$1:$D$191,2,FALSE)</f>
        <v>88</v>
      </c>
    </row>
    <row r="686" spans="1:39" x14ac:dyDescent="0.35">
      <c r="A686">
        <v>2015</v>
      </c>
      <c r="B686" t="s">
        <v>91</v>
      </c>
      <c r="C686">
        <v>88</v>
      </c>
      <c r="D686" t="s">
        <v>289</v>
      </c>
      <c r="E686">
        <v>745966.54230499745</v>
      </c>
      <c r="G686">
        <v>745966.54230499745</v>
      </c>
      <c r="H686">
        <v>177885131240.315</v>
      </c>
      <c r="I686">
        <v>177885131240.315</v>
      </c>
      <c r="J686">
        <v>3.1570360543853447E-2</v>
      </c>
      <c r="K686">
        <v>8977.0174815819591</v>
      </c>
      <c r="L686">
        <v>3.6430694109635696E-2</v>
      </c>
      <c r="M686">
        <v>8661.4739727424094</v>
      </c>
      <c r="N686">
        <v>-0.59415643749520297</v>
      </c>
      <c r="O686">
        <v>83.520576701715498</v>
      </c>
      <c r="P686">
        <v>29.903814568016799</v>
      </c>
      <c r="Q686">
        <v>33.013579705300103</v>
      </c>
      <c r="R686">
        <v>19815616</v>
      </c>
      <c r="S686">
        <v>-4.6894921130812388E-3</v>
      </c>
      <c r="T686">
        <v>33.94</v>
      </c>
      <c r="U686">
        <v>6.68</v>
      </c>
      <c r="V686">
        <v>68.653980000000004</v>
      </c>
      <c r="W686">
        <v>3.4167010000000002</v>
      </c>
      <c r="X686">
        <v>65.670169999999999</v>
      </c>
      <c r="Y686">
        <v>55.763199999999998</v>
      </c>
      <c r="Z686">
        <v>49.360988616943402</v>
      </c>
      <c r="AA686">
        <v>2018</v>
      </c>
      <c r="AB686">
        <v>2019</v>
      </c>
      <c r="AC686">
        <v>0</v>
      </c>
      <c r="AD686">
        <v>0</v>
      </c>
      <c r="AE686">
        <v>1</v>
      </c>
      <c r="AF686">
        <v>1</v>
      </c>
      <c r="AJ686">
        <v>0.20488214492797849</v>
      </c>
      <c r="AK686">
        <v>0.56835758686065674</v>
      </c>
      <c r="AL686">
        <v>4.5121750000000002E-2</v>
      </c>
      <c r="AM686">
        <f>VLOOKUP(D686,[1]Sheet1!$C$1:$D$191,2,FALSE)</f>
        <v>88</v>
      </c>
    </row>
    <row r="687" spans="1:39" x14ac:dyDescent="0.35">
      <c r="A687">
        <v>2016</v>
      </c>
      <c r="B687" t="s">
        <v>91</v>
      </c>
      <c r="C687">
        <v>88</v>
      </c>
      <c r="D687" t="s">
        <v>289</v>
      </c>
      <c r="E687">
        <v>1296947.0728031241</v>
      </c>
      <c r="G687">
        <v>1296947.0728031241</v>
      </c>
      <c r="H687">
        <v>182972525962.27499</v>
      </c>
      <c r="I687">
        <v>185290759248.84399</v>
      </c>
      <c r="J687">
        <v>2.8599325230207941E-2</v>
      </c>
      <c r="K687">
        <v>9286.87678236598</v>
      </c>
      <c r="L687">
        <v>3.4516954146491925E-2</v>
      </c>
      <c r="M687">
        <v>8977.0174815819591</v>
      </c>
      <c r="N687">
        <v>-1.54479666813897</v>
      </c>
      <c r="O687">
        <v>85.892528290688404</v>
      </c>
      <c r="P687">
        <v>28.5586243050561</v>
      </c>
      <c r="Q687">
        <v>32.224760350317503</v>
      </c>
      <c r="R687">
        <v>19702267</v>
      </c>
      <c r="S687">
        <v>-5.7201855344794729E-3</v>
      </c>
      <c r="T687">
        <v>31.975999999999999</v>
      </c>
      <c r="U687">
        <v>6.62</v>
      </c>
      <c r="V687">
        <v>66.775124000000005</v>
      </c>
      <c r="W687">
        <v>3.6618689999999998</v>
      </c>
      <c r="X687">
        <v>59.386620000000001</v>
      </c>
      <c r="Y687">
        <v>59.503999999999998</v>
      </c>
      <c r="Z687">
        <v>49.911319732666001</v>
      </c>
      <c r="AA687">
        <v>2018</v>
      </c>
      <c r="AB687">
        <v>2019</v>
      </c>
      <c r="AC687">
        <v>0</v>
      </c>
      <c r="AD687">
        <v>0</v>
      </c>
      <c r="AE687">
        <v>1</v>
      </c>
      <c r="AF687">
        <v>1</v>
      </c>
      <c r="AJ687">
        <v>0.45245349407196039</v>
      </c>
      <c r="AK687">
        <v>0.56633001565933228</v>
      </c>
      <c r="AL687">
        <v>4.9874399999999999E-2</v>
      </c>
      <c r="AM687">
        <f>VLOOKUP(D687,[1]Sheet1!$C$1:$D$191,2,FALSE)</f>
        <v>88</v>
      </c>
    </row>
    <row r="688" spans="1:39" x14ac:dyDescent="0.35">
      <c r="A688">
        <v>2017</v>
      </c>
      <c r="B688" t="s">
        <v>91</v>
      </c>
      <c r="C688">
        <v>88</v>
      </c>
      <c r="D688" t="s">
        <v>289</v>
      </c>
      <c r="E688">
        <v>6403734.2983640581</v>
      </c>
      <c r="F688">
        <v>5264441.6203120342</v>
      </c>
      <c r="G688">
        <v>11668175.918676093</v>
      </c>
      <c r="H688">
        <v>197967999561.01999</v>
      </c>
      <c r="I688">
        <v>210147385855.41901</v>
      </c>
      <c r="J688">
        <v>8.1954782664129255E-2</v>
      </c>
      <c r="K688">
        <v>10106.2269557253</v>
      </c>
      <c r="L688">
        <v>8.822666570909081E-2</v>
      </c>
      <c r="M688">
        <v>9286.87678236598</v>
      </c>
      <c r="N688">
        <v>1.3390212110438999</v>
      </c>
      <c r="O688">
        <v>87.156064566780103</v>
      </c>
      <c r="P688">
        <v>26.668460463027799</v>
      </c>
      <c r="Q688">
        <v>31.596734508301001</v>
      </c>
      <c r="R688">
        <v>19588715</v>
      </c>
      <c r="S688">
        <v>-5.7633976841345216E-3</v>
      </c>
      <c r="T688">
        <v>32.223999999999997</v>
      </c>
      <c r="U688">
        <v>6.44</v>
      </c>
      <c r="V688">
        <v>66.832267000000002</v>
      </c>
      <c r="W688">
        <v>3.467384</v>
      </c>
      <c r="X688">
        <v>62.558979999999998</v>
      </c>
      <c r="Y688">
        <v>63.747300000000003</v>
      </c>
      <c r="Z688">
        <v>50.510818481445298</v>
      </c>
      <c r="AA688">
        <v>2018</v>
      </c>
      <c r="AB688">
        <v>2019</v>
      </c>
      <c r="AC688">
        <v>0</v>
      </c>
      <c r="AD688">
        <v>0</v>
      </c>
      <c r="AE688">
        <v>1</v>
      </c>
      <c r="AF688">
        <v>1</v>
      </c>
      <c r="AJ688">
        <v>0.43664833903312678</v>
      </c>
      <c r="AK688">
        <v>0.43302014470100397</v>
      </c>
      <c r="AL688">
        <v>5.6160874999999999E-2</v>
      </c>
      <c r="AM688">
        <f>VLOOKUP(D688,[1]Sheet1!$C$1:$D$191,2,FALSE)</f>
        <v>88</v>
      </c>
    </row>
    <row r="689" spans="1:39" x14ac:dyDescent="0.35">
      <c r="A689">
        <v>2018</v>
      </c>
      <c r="B689" t="s">
        <v>91</v>
      </c>
      <c r="C689">
        <v>88</v>
      </c>
      <c r="D689" t="s">
        <v>289</v>
      </c>
      <c r="E689">
        <v>1721155.6005190001</v>
      </c>
      <c r="F689">
        <v>18926974.380800001</v>
      </c>
      <c r="G689">
        <v>20648129.981319003</v>
      </c>
      <c r="H689">
        <v>210085482250.69699</v>
      </c>
      <c r="I689">
        <v>243468683030.34</v>
      </c>
      <c r="J689">
        <v>6.1209300071459333E-2</v>
      </c>
      <c r="K689">
        <v>10788.015091462999</v>
      </c>
      <c r="L689">
        <v>6.7462183337517259E-2</v>
      </c>
      <c r="M689">
        <v>10106.2269557253</v>
      </c>
      <c r="N689">
        <v>4.6254844313777896</v>
      </c>
      <c r="O689">
        <v>86.491199021153605</v>
      </c>
      <c r="P689">
        <v>25.514748775165501</v>
      </c>
      <c r="Q689">
        <v>32.519767671956402</v>
      </c>
      <c r="R689">
        <v>19473970</v>
      </c>
      <c r="S689">
        <v>-5.857709400540056E-3</v>
      </c>
      <c r="T689">
        <v>31.655999999999999</v>
      </c>
      <c r="U689">
        <v>6.38</v>
      </c>
      <c r="V689">
        <v>64.709986000000001</v>
      </c>
      <c r="W689">
        <v>3.7097120000000001</v>
      </c>
      <c r="X689">
        <v>61.602249999999998</v>
      </c>
      <c r="Y689">
        <v>70.681299999999993</v>
      </c>
      <c r="Z689">
        <v>51.994350433349602</v>
      </c>
      <c r="AA689">
        <v>2018</v>
      </c>
      <c r="AB689">
        <v>2019</v>
      </c>
      <c r="AC689">
        <v>1</v>
      </c>
      <c r="AD689">
        <v>0</v>
      </c>
      <c r="AE689">
        <v>1</v>
      </c>
      <c r="AF689">
        <v>1</v>
      </c>
      <c r="AG689">
        <v>0</v>
      </c>
      <c r="AJ689">
        <v>0.36754822731018072</v>
      </c>
      <c r="AK689">
        <v>0.40641540288925171</v>
      </c>
      <c r="AL689">
        <v>6.4121199999999989E-2</v>
      </c>
      <c r="AM689">
        <f>VLOOKUP(D689,[1]Sheet1!$C$1:$D$191,2,FALSE)</f>
        <v>88</v>
      </c>
    </row>
    <row r="690" spans="1:39" x14ac:dyDescent="0.35">
      <c r="A690">
        <v>2019</v>
      </c>
      <c r="B690" t="s">
        <v>91</v>
      </c>
      <c r="C690">
        <v>88</v>
      </c>
      <c r="D690" t="s">
        <v>289</v>
      </c>
      <c r="E690">
        <v>3018833.3450842402</v>
      </c>
      <c r="F690">
        <v>26832114.910033461</v>
      </c>
      <c r="G690">
        <v>29850948.255117696</v>
      </c>
      <c r="H690">
        <v>218327690029.17001</v>
      </c>
      <c r="I690">
        <v>251677082534.495</v>
      </c>
      <c r="J690">
        <v>3.923263849635035E-2</v>
      </c>
      <c r="K690">
        <v>11270.475802015901</v>
      </c>
      <c r="L690">
        <v>4.4721916540021549E-2</v>
      </c>
      <c r="M690">
        <v>10788.015091462999</v>
      </c>
      <c r="N690">
        <v>3.8278543259943798</v>
      </c>
      <c r="O690">
        <v>84.367712161933795</v>
      </c>
      <c r="P690">
        <v>24.558766144697199</v>
      </c>
      <c r="Q690">
        <v>33.602899937239201</v>
      </c>
      <c r="R690">
        <v>19371648</v>
      </c>
      <c r="S690">
        <v>-5.2542958626309892E-3</v>
      </c>
      <c r="T690">
        <v>32.475999999999999</v>
      </c>
      <c r="U690">
        <v>6.49</v>
      </c>
      <c r="V690">
        <v>64.391212999999993</v>
      </c>
      <c r="W690">
        <v>3.68411</v>
      </c>
      <c r="X690">
        <v>62.329569999999997</v>
      </c>
      <c r="Y690">
        <v>73.657499999999999</v>
      </c>
      <c r="Z690">
        <v>52.4439697265625</v>
      </c>
      <c r="AA690">
        <v>2018</v>
      </c>
      <c r="AB690">
        <v>2019</v>
      </c>
      <c r="AC690">
        <v>1</v>
      </c>
      <c r="AD690">
        <v>1</v>
      </c>
      <c r="AE690">
        <v>1</v>
      </c>
      <c r="AF690">
        <v>1</v>
      </c>
      <c r="AG690">
        <v>1</v>
      </c>
      <c r="AH690">
        <v>0</v>
      </c>
      <c r="AJ690">
        <v>0.41534364223480219</v>
      </c>
      <c r="AK690">
        <v>0.44331443309783941</v>
      </c>
      <c r="AL690">
        <v>0.12592342500000001</v>
      </c>
      <c r="AM690">
        <f>VLOOKUP(D690,[1]Sheet1!$C$1:$D$191,2,FALSE)</f>
        <v>88</v>
      </c>
    </row>
    <row r="691" spans="1:39" x14ac:dyDescent="0.35">
      <c r="A691">
        <v>2020</v>
      </c>
      <c r="B691" t="s">
        <v>91</v>
      </c>
      <c r="C691">
        <v>88</v>
      </c>
      <c r="D691" t="s">
        <v>289</v>
      </c>
      <c r="E691">
        <v>5187809.3728685901</v>
      </c>
      <c r="F691">
        <v>30261531.773503069</v>
      </c>
      <c r="G691">
        <v>35449341.146371655</v>
      </c>
      <c r="H691">
        <v>210305491425.98599</v>
      </c>
      <c r="I691">
        <v>252033792712.14499</v>
      </c>
      <c r="J691">
        <v>-3.6743844091018427E-2</v>
      </c>
      <c r="K691">
        <v>10916.3126056493</v>
      </c>
      <c r="L691">
        <v>-3.1423979128126327E-2</v>
      </c>
      <c r="M691">
        <v>11270.475802015901</v>
      </c>
      <c r="N691">
        <v>2.6310731118474302</v>
      </c>
      <c r="O691">
        <v>77.923643460061996</v>
      </c>
      <c r="P691">
        <v>25.7102066928041</v>
      </c>
      <c r="Q691">
        <v>38.002975610057099</v>
      </c>
      <c r="R691">
        <v>19265250</v>
      </c>
      <c r="S691">
        <v>-5.4924599084187368E-3</v>
      </c>
      <c r="T691">
        <v>32.090000000000003</v>
      </c>
      <c r="U691">
        <v>6.4</v>
      </c>
      <c r="V691">
        <v>62.794601</v>
      </c>
      <c r="W691">
        <v>3.5451280000000001</v>
      </c>
      <c r="X691">
        <v>66.369470000000007</v>
      </c>
      <c r="Y691">
        <v>78.455299999999994</v>
      </c>
      <c r="Z691">
        <v>53.491111755371101</v>
      </c>
      <c r="AA691">
        <v>2018</v>
      </c>
      <c r="AB691">
        <v>2019</v>
      </c>
      <c r="AC691">
        <v>1</v>
      </c>
      <c r="AD691">
        <v>1</v>
      </c>
      <c r="AE691">
        <v>1</v>
      </c>
      <c r="AF691">
        <v>1</v>
      </c>
      <c r="AG691">
        <v>2</v>
      </c>
      <c r="AH691">
        <v>1</v>
      </c>
      <c r="AJ691">
        <v>0.36868992447853088</v>
      </c>
      <c r="AK691">
        <v>0.34621754288673401</v>
      </c>
      <c r="AL691">
        <v>0.12565547499999999</v>
      </c>
      <c r="AM691">
        <f>VLOOKUP(D691,[1]Sheet1!$C$1:$D$191,2,FALSE)</f>
        <v>88</v>
      </c>
    </row>
    <row r="692" spans="1:39" x14ac:dyDescent="0.35">
      <c r="A692">
        <v>2013</v>
      </c>
      <c r="B692" t="s">
        <v>92</v>
      </c>
      <c r="C692">
        <v>89</v>
      </c>
      <c r="D692" t="s">
        <v>353</v>
      </c>
      <c r="E692">
        <v>203529.22903862791</v>
      </c>
      <c r="F692">
        <v>1805450</v>
      </c>
      <c r="G692">
        <v>2008979.2290386278</v>
      </c>
      <c r="H692">
        <v>7392698821.0957699</v>
      </c>
      <c r="I692">
        <v>7819963715.7535295</v>
      </c>
      <c r="J692">
        <v>4.7198485697826031E-2</v>
      </c>
      <c r="K692">
        <v>666.40874805025101</v>
      </c>
      <c r="L692">
        <v>2.2330148310371833E-2</v>
      </c>
      <c r="M692">
        <v>651.85277882261403</v>
      </c>
      <c r="N692">
        <v>5.9242686798485398</v>
      </c>
      <c r="O692">
        <v>42.693492429536199</v>
      </c>
      <c r="P692">
        <v>16.2164793656958</v>
      </c>
      <c r="R692">
        <v>11093340</v>
      </c>
      <c r="S692">
        <v>2.4325153110817909E-2</v>
      </c>
      <c r="U692">
        <v>3.38</v>
      </c>
      <c r="V692">
        <v>5.2355003</v>
      </c>
      <c r="W692">
        <v>7.9084289999999999</v>
      </c>
      <c r="X692">
        <v>62.798830000000002</v>
      </c>
      <c r="Y692">
        <v>9</v>
      </c>
      <c r="Z692">
        <v>6.2314911703034497</v>
      </c>
      <c r="AJ692">
        <v>-0.14688621461391449</v>
      </c>
      <c r="AK692">
        <v>-3.0156893655657772E-2</v>
      </c>
      <c r="AL692">
        <v>0.102485275</v>
      </c>
      <c r="AM692">
        <f>VLOOKUP(D692,[1]Sheet1!$C$1:$D$191,2,FALSE)</f>
        <v>89</v>
      </c>
    </row>
    <row r="693" spans="1:39" x14ac:dyDescent="0.35">
      <c r="A693">
        <v>2014</v>
      </c>
      <c r="B693" t="s">
        <v>92</v>
      </c>
      <c r="C693">
        <v>89</v>
      </c>
      <c r="D693" t="s">
        <v>353</v>
      </c>
      <c r="E693">
        <v>162930.3581713404</v>
      </c>
      <c r="F693">
        <v>2351100</v>
      </c>
      <c r="G693">
        <v>2514030.3581713405</v>
      </c>
      <c r="H693">
        <v>7848618840.48524</v>
      </c>
      <c r="I693">
        <v>8238966063.8669205</v>
      </c>
      <c r="J693">
        <v>6.1671661516692511E-2</v>
      </c>
      <c r="K693">
        <v>690.610352732156</v>
      </c>
      <c r="L693">
        <v>3.6316457058393925E-2</v>
      </c>
      <c r="M693">
        <v>666.40874805025101</v>
      </c>
      <c r="N693">
        <v>2.3544905282035802</v>
      </c>
      <c r="O693">
        <v>43.902733691074999</v>
      </c>
      <c r="P693">
        <v>17.6303961518493</v>
      </c>
      <c r="Q693">
        <v>17.4176076115731</v>
      </c>
      <c r="R693">
        <v>11364757</v>
      </c>
      <c r="S693">
        <v>2.4466661979169482E-2</v>
      </c>
      <c r="T693">
        <v>75.204999999999998</v>
      </c>
      <c r="U693">
        <v>3.25</v>
      </c>
      <c r="V693">
        <v>5.6210550000000001</v>
      </c>
      <c r="W693">
        <v>8.7634279999999993</v>
      </c>
      <c r="X693">
        <v>63.943809999999999</v>
      </c>
      <c r="Y693">
        <v>10.6</v>
      </c>
      <c r="Z693">
        <v>7.3586177433901403</v>
      </c>
      <c r="AJ693">
        <v>7.016821950674057E-2</v>
      </c>
      <c r="AK693">
        <v>0.18556332588195801</v>
      </c>
      <c r="AL693">
        <v>0.14857334999999999</v>
      </c>
      <c r="AM693">
        <f>VLOOKUP(D693,[1]Sheet1!$C$1:$D$191,2,FALSE)</f>
        <v>89</v>
      </c>
    </row>
    <row r="694" spans="1:39" x14ac:dyDescent="0.35">
      <c r="A694">
        <v>2015</v>
      </c>
      <c r="B694" t="s">
        <v>92</v>
      </c>
      <c r="C694">
        <v>89</v>
      </c>
      <c r="D694" t="s">
        <v>353</v>
      </c>
      <c r="E694">
        <v>77214.823521277896</v>
      </c>
      <c r="F694">
        <v>4166400</v>
      </c>
      <c r="G694">
        <v>4243614.8235212779</v>
      </c>
      <c r="H694">
        <v>8543759677.5815697</v>
      </c>
      <c r="I694">
        <v>8543759677.5815697</v>
      </c>
      <c r="J694">
        <v>8.8568555974537902E-2</v>
      </c>
      <c r="K694">
        <v>733.99858501827305</v>
      </c>
      <c r="L694">
        <v>6.2825922192545805E-2</v>
      </c>
      <c r="M694">
        <v>690.610352732156</v>
      </c>
      <c r="N694">
        <v>2.5285028419242099</v>
      </c>
      <c r="O694">
        <v>45.2019756159103</v>
      </c>
      <c r="P694">
        <v>20.999707903327199</v>
      </c>
      <c r="Q694">
        <v>16.933014579842901</v>
      </c>
      <c r="R694">
        <v>11640022</v>
      </c>
      <c r="S694">
        <v>2.4220931428626236E-2</v>
      </c>
      <c r="U694">
        <v>3.07</v>
      </c>
      <c r="V694">
        <v>5.6261323000000001</v>
      </c>
      <c r="W694">
        <v>8.8315049999999999</v>
      </c>
      <c r="X694">
        <v>58.046230000000001</v>
      </c>
      <c r="Y694">
        <v>12.5</v>
      </c>
      <c r="Z694">
        <v>7.5312485644831799</v>
      </c>
      <c r="AJ694">
        <v>3.8924239575862878E-2</v>
      </c>
      <c r="AK694">
        <v>0.1475644260644913</v>
      </c>
      <c r="AL694">
        <v>4.8202074999999997E-2</v>
      </c>
      <c r="AM694">
        <f>VLOOKUP(D694,[1]Sheet1!$C$1:$D$191,2,FALSE)</f>
        <v>89</v>
      </c>
    </row>
    <row r="695" spans="1:39" x14ac:dyDescent="0.35">
      <c r="A695">
        <v>2016</v>
      </c>
      <c r="B695" t="s">
        <v>92</v>
      </c>
      <c r="C695">
        <v>89</v>
      </c>
      <c r="D695" t="s">
        <v>353</v>
      </c>
      <c r="E695">
        <v>210668.32681263229</v>
      </c>
      <c r="F695">
        <v>5116472</v>
      </c>
      <c r="G695">
        <v>5327140.3268126324</v>
      </c>
      <c r="H695">
        <v>9053885803.0705109</v>
      </c>
      <c r="I695">
        <v>8695272300.9101906</v>
      </c>
      <c r="J695">
        <v>5.9707452543110329E-2</v>
      </c>
      <c r="K695">
        <v>759.606241725671</v>
      </c>
      <c r="L695">
        <v>3.4887882933398902E-2</v>
      </c>
      <c r="M695">
        <v>733.99858501827305</v>
      </c>
      <c r="N695">
        <v>7.1743430198200899</v>
      </c>
      <c r="O695">
        <v>49.484907106989198</v>
      </c>
      <c r="P695">
        <v>20.475172421464102</v>
      </c>
      <c r="Q695">
        <v>18.459673314659099</v>
      </c>
      <c r="R695">
        <v>11919183</v>
      </c>
      <c r="S695">
        <v>2.3982858451642101E-2</v>
      </c>
      <c r="U695">
        <v>3.07</v>
      </c>
      <c r="V695">
        <v>5.7442304000000002</v>
      </c>
      <c r="W695">
        <v>8.9708939999999995</v>
      </c>
      <c r="X695">
        <v>61.116379999999999</v>
      </c>
      <c r="Y695">
        <v>14.6</v>
      </c>
      <c r="Z695">
        <v>7.5780726444176398</v>
      </c>
      <c r="AJ695">
        <v>9.6532121300697327E-2</v>
      </c>
      <c r="AK695">
        <v>1.1626932770013809E-2</v>
      </c>
      <c r="AL695">
        <v>5.2283074999999998E-2</v>
      </c>
      <c r="AM695">
        <f>VLOOKUP(D695,[1]Sheet1!$C$1:$D$191,2,FALSE)</f>
        <v>89</v>
      </c>
    </row>
    <row r="696" spans="1:39" x14ac:dyDescent="0.35">
      <c r="A696">
        <v>2017</v>
      </c>
      <c r="B696" t="s">
        <v>92</v>
      </c>
      <c r="C696">
        <v>89</v>
      </c>
      <c r="D696" t="s">
        <v>353</v>
      </c>
      <c r="E696">
        <v>140543.19291000001</v>
      </c>
      <c r="F696">
        <v>6346875</v>
      </c>
      <c r="G696">
        <v>6487418.1929099998</v>
      </c>
      <c r="H696">
        <v>9408632525.2108192</v>
      </c>
      <c r="I696">
        <v>9252834336.4949207</v>
      </c>
      <c r="J696">
        <v>3.9181709362846227E-2</v>
      </c>
      <c r="K696">
        <v>771.06919038349395</v>
      </c>
      <c r="L696">
        <v>1.5090645690037327E-2</v>
      </c>
      <c r="M696">
        <v>759.606241725671</v>
      </c>
      <c r="N696">
        <v>8.2795367226083201</v>
      </c>
      <c r="O696">
        <v>53.675267417725301</v>
      </c>
      <c r="P696">
        <v>20.594411200892701</v>
      </c>
      <c r="Q696">
        <v>18.672752788182201</v>
      </c>
      <c r="R696">
        <v>12202060</v>
      </c>
      <c r="S696">
        <v>2.3732918606921297E-2</v>
      </c>
      <c r="T696">
        <v>62.177999999999997</v>
      </c>
      <c r="U696">
        <v>3.19</v>
      </c>
      <c r="V696">
        <v>5.6606936000000001</v>
      </c>
      <c r="W696">
        <v>9.1772139999999993</v>
      </c>
      <c r="X696">
        <v>57.506610000000002</v>
      </c>
      <c r="Y696">
        <v>17.2</v>
      </c>
      <c r="Z696">
        <v>7.3448829609045196</v>
      </c>
      <c r="AJ696">
        <v>0.11412779986858369</v>
      </c>
      <c r="AK696">
        <v>7.9686984419822693E-2</v>
      </c>
      <c r="AL696">
        <v>4.5112500000000007E-2</v>
      </c>
      <c r="AM696">
        <f>VLOOKUP(D696,[1]Sheet1!$C$1:$D$191,2,FALSE)</f>
        <v>89</v>
      </c>
    </row>
    <row r="697" spans="1:39" x14ac:dyDescent="0.35">
      <c r="A697">
        <v>2018</v>
      </c>
      <c r="B697" t="s">
        <v>92</v>
      </c>
      <c r="C697">
        <v>89</v>
      </c>
      <c r="D697" t="s">
        <v>353</v>
      </c>
      <c r="E697">
        <v>272781.36078400002</v>
      </c>
      <c r="F697">
        <v>11124368</v>
      </c>
      <c r="G697">
        <v>11397149.360784</v>
      </c>
      <c r="H697">
        <v>10209915630.628</v>
      </c>
      <c r="I697">
        <v>9637904655.1744595</v>
      </c>
      <c r="J697">
        <v>8.5164672259237448E-2</v>
      </c>
      <c r="K697">
        <v>817.57838732716004</v>
      </c>
      <c r="L697">
        <v>6.0317799652369185E-2</v>
      </c>
      <c r="M697">
        <v>771.06919038349395</v>
      </c>
      <c r="N697">
        <v>-0.31121016039069899</v>
      </c>
      <c r="O697">
        <v>55.784126373960298</v>
      </c>
      <c r="P697">
        <v>21.399884883840599</v>
      </c>
      <c r="Q697">
        <v>18.686255160566098</v>
      </c>
      <c r="R697">
        <v>12487996</v>
      </c>
      <c r="S697">
        <v>2.3433420258546507E-2</v>
      </c>
      <c r="T697">
        <v>62.030999999999999</v>
      </c>
      <c r="U697">
        <v>3.35</v>
      </c>
      <c r="V697">
        <v>5.1867599000000002</v>
      </c>
      <c r="W697">
        <v>8.762162</v>
      </c>
      <c r="X697">
        <v>59.563699999999997</v>
      </c>
      <c r="Y697">
        <v>19.2</v>
      </c>
      <c r="Z697">
        <v>6.7609464771426397</v>
      </c>
      <c r="AI697">
        <v>1</v>
      </c>
      <c r="AJ697">
        <v>0.10923101752996441</v>
      </c>
      <c r="AK697">
        <v>3.3973775804042823E-2</v>
      </c>
      <c r="AL697">
        <v>1.0072925E-2</v>
      </c>
      <c r="AM697">
        <f>VLOOKUP(D697,[1]Sheet1!$C$1:$D$191,2,FALSE)</f>
        <v>89</v>
      </c>
    </row>
    <row r="698" spans="1:39" x14ac:dyDescent="0.35">
      <c r="A698">
        <v>2019</v>
      </c>
      <c r="B698" t="s">
        <v>92</v>
      </c>
      <c r="C698">
        <v>89</v>
      </c>
      <c r="D698" t="s">
        <v>353</v>
      </c>
      <c r="E698">
        <v>12728.693857030001</v>
      </c>
      <c r="F698">
        <v>6719959</v>
      </c>
      <c r="G698">
        <v>6732687.69385703</v>
      </c>
      <c r="H698">
        <v>11174485687.432501</v>
      </c>
      <c r="I698">
        <v>10349300380.33</v>
      </c>
      <c r="J698">
        <v>9.4473851861317584E-2</v>
      </c>
      <c r="K698">
        <v>874.63960547535203</v>
      </c>
      <c r="L698">
        <v>6.9792963014515833E-2</v>
      </c>
      <c r="M698">
        <v>817.57838732716004</v>
      </c>
      <c r="N698">
        <v>3.3478765503764798</v>
      </c>
      <c r="O698">
        <v>57.975662863795399</v>
      </c>
      <c r="P698">
        <v>21.460547085145599</v>
      </c>
      <c r="Q698">
        <v>19.3459477614836</v>
      </c>
      <c r="R698">
        <v>12776103</v>
      </c>
      <c r="S698">
        <v>2.3070715269287403E-2</v>
      </c>
      <c r="T698">
        <v>59.966999999999999</v>
      </c>
      <c r="U698">
        <v>3.16</v>
      </c>
      <c r="V698">
        <v>5.0356928999999999</v>
      </c>
      <c r="W698">
        <v>11.03955</v>
      </c>
      <c r="X698">
        <v>60.66216</v>
      </c>
      <c r="Y698">
        <v>21.358000000000001</v>
      </c>
      <c r="Z698">
        <v>6.3142892660234002</v>
      </c>
      <c r="AI698">
        <v>1</v>
      </c>
      <c r="AJ698">
        <v>6.2771327793598175E-2</v>
      </c>
      <c r="AK698">
        <v>-1.019152998924255E-2</v>
      </c>
      <c r="AL698">
        <v>4.4948600000000012E-2</v>
      </c>
      <c r="AM698">
        <f>VLOOKUP(D698,[1]Sheet1!$C$1:$D$191,2,FALSE)</f>
        <v>89</v>
      </c>
    </row>
    <row r="699" spans="1:39" x14ac:dyDescent="0.35">
      <c r="A699">
        <v>2020</v>
      </c>
      <c r="B699" t="s">
        <v>92</v>
      </c>
      <c r="C699">
        <v>89</v>
      </c>
      <c r="D699" t="s">
        <v>353</v>
      </c>
      <c r="E699">
        <v>178081.93213145999</v>
      </c>
      <c r="F699">
        <v>9196377.0077999998</v>
      </c>
      <c r="G699">
        <v>9374458.9399314597</v>
      </c>
      <c r="H699">
        <v>10797493464.6628</v>
      </c>
      <c r="I699">
        <v>10174387374.347799</v>
      </c>
      <c r="J699">
        <v>-3.373687463698568E-2</v>
      </c>
      <c r="K699">
        <v>826.39125718948105</v>
      </c>
      <c r="L699">
        <v>-5.5163690260343061E-2</v>
      </c>
      <c r="M699">
        <v>874.63960547535203</v>
      </c>
      <c r="N699">
        <v>9.8503990227420708</v>
      </c>
      <c r="O699">
        <v>55.187951551985499</v>
      </c>
      <c r="P699">
        <v>25.051068907607799</v>
      </c>
      <c r="Q699">
        <v>21.529923413698601</v>
      </c>
      <c r="R699">
        <v>13065837</v>
      </c>
      <c r="S699">
        <v>2.2677807152932314E-2</v>
      </c>
      <c r="T699">
        <v>63.563000000000002</v>
      </c>
      <c r="U699">
        <v>3.1</v>
      </c>
      <c r="V699">
        <v>4.2605171000000004</v>
      </c>
      <c r="W699">
        <v>9.4483870000000003</v>
      </c>
      <c r="X699">
        <v>61.34037</v>
      </c>
      <c r="Y699">
        <v>23.8</v>
      </c>
      <c r="Z699">
        <v>7.5670958634555303</v>
      </c>
      <c r="AI699">
        <v>1</v>
      </c>
      <c r="AJ699">
        <v>7.5776122510433197E-2</v>
      </c>
      <c r="AK699">
        <v>-3.5997480154037481E-4</v>
      </c>
      <c r="AL699">
        <v>8.6194224999999999E-2</v>
      </c>
      <c r="AM699">
        <f>VLOOKUP(D699,[1]Sheet1!$C$1:$D$191,2,FALSE)</f>
        <v>89</v>
      </c>
    </row>
    <row r="700" spans="1:39" x14ac:dyDescent="0.35">
      <c r="A700">
        <v>2013</v>
      </c>
      <c r="B700" t="s">
        <v>93</v>
      </c>
      <c r="C700">
        <v>90</v>
      </c>
      <c r="D700" t="s">
        <v>290</v>
      </c>
      <c r="E700">
        <v>60421.424478336703</v>
      </c>
      <c r="F700">
        <v>2037725</v>
      </c>
      <c r="G700">
        <v>2098146.4244783367</v>
      </c>
      <c r="H700">
        <v>15731635117.416401</v>
      </c>
      <c r="I700">
        <v>18918667724.881699</v>
      </c>
      <c r="J700">
        <v>2.4123852760558593E-2</v>
      </c>
      <c r="K700">
        <v>1147.3859217191</v>
      </c>
      <c r="L700">
        <v>-5.7803552828755173E-3</v>
      </c>
      <c r="M700">
        <v>1154.0567799236701</v>
      </c>
      <c r="N700">
        <v>0.71024548669527199</v>
      </c>
      <c r="O700">
        <v>60.626766359673702</v>
      </c>
      <c r="P700">
        <v>26.316513136267499</v>
      </c>
      <c r="R700">
        <v>13710849</v>
      </c>
      <c r="S700">
        <v>3.0078069974106898E-2</v>
      </c>
      <c r="U700">
        <v>6.15</v>
      </c>
      <c r="V700">
        <v>4.9480257999999999</v>
      </c>
      <c r="W700">
        <v>5.0452849999999998</v>
      </c>
      <c r="X700">
        <v>59.620809999999999</v>
      </c>
      <c r="Y700">
        <v>13.1</v>
      </c>
      <c r="Z700">
        <v>10.572539745854501</v>
      </c>
      <c r="AF700">
        <v>0</v>
      </c>
      <c r="AJ700">
        <v>-0.2363628298044205</v>
      </c>
      <c r="AK700">
        <v>-7.3225945234298706E-2</v>
      </c>
      <c r="AL700">
        <v>1.6566825E-2</v>
      </c>
      <c r="AM700">
        <f>VLOOKUP(D700,[1]Sheet1!$C$1:$D$191,2,FALSE)</f>
        <v>90</v>
      </c>
    </row>
    <row r="701" spans="1:39" x14ac:dyDescent="0.35">
      <c r="A701">
        <v>2014</v>
      </c>
      <c r="B701" t="s">
        <v>93</v>
      </c>
      <c r="C701">
        <v>90</v>
      </c>
      <c r="D701" t="s">
        <v>290</v>
      </c>
      <c r="E701">
        <v>301673.48047537298</v>
      </c>
      <c r="F701">
        <v>2149100</v>
      </c>
      <c r="G701">
        <v>2450773.4804753731</v>
      </c>
      <c r="H701">
        <v>16710783797.424801</v>
      </c>
      <c r="I701">
        <v>19797253440.267899</v>
      </c>
      <c r="J701">
        <v>6.2240744379100821E-2</v>
      </c>
      <c r="K701">
        <v>1180.7987108504999</v>
      </c>
      <c r="L701">
        <v>2.9120794057973402E-2</v>
      </c>
      <c r="M701">
        <v>1147.3859217191</v>
      </c>
      <c r="N701">
        <v>-1.0902550744689501</v>
      </c>
      <c r="O701">
        <v>58.442528976099197</v>
      </c>
      <c r="P701">
        <v>27.316937568419402</v>
      </c>
      <c r="R701">
        <v>14152102</v>
      </c>
      <c r="S701">
        <v>3.2182762715860992E-2</v>
      </c>
      <c r="U701">
        <v>6.15</v>
      </c>
      <c r="V701">
        <v>5.1086971999999999</v>
      </c>
      <c r="W701">
        <v>4.1542209999999997</v>
      </c>
      <c r="X701">
        <v>58.372050000000002</v>
      </c>
      <c r="Y701">
        <v>17.7</v>
      </c>
      <c r="Z701">
        <v>10.878756863240801</v>
      </c>
      <c r="AF701">
        <v>0</v>
      </c>
      <c r="AJ701">
        <v>-7.5783044099807739E-2</v>
      </c>
      <c r="AK701">
        <v>-0.26208817958831793</v>
      </c>
      <c r="AL701">
        <v>1.925605E-2</v>
      </c>
      <c r="AM701">
        <f>VLOOKUP(D701,[1]Sheet1!$C$1:$D$191,2,FALSE)</f>
        <v>90</v>
      </c>
    </row>
    <row r="702" spans="1:39" x14ac:dyDescent="0.35">
      <c r="A702">
        <v>2015</v>
      </c>
      <c r="B702" t="s">
        <v>93</v>
      </c>
      <c r="C702">
        <v>90</v>
      </c>
      <c r="D702" t="s">
        <v>290</v>
      </c>
      <c r="E702">
        <v>127450.2646533357</v>
      </c>
      <c r="F702">
        <v>1978675</v>
      </c>
      <c r="G702">
        <v>2106125.2646533358</v>
      </c>
      <c r="H702">
        <v>17774766696.1759</v>
      </c>
      <c r="I702">
        <v>17774766696.1759</v>
      </c>
      <c r="J702">
        <v>6.3670436506698305E-2</v>
      </c>
      <c r="K702">
        <v>1218.0061355543801</v>
      </c>
      <c r="L702">
        <v>3.1510387301389074E-2</v>
      </c>
      <c r="M702">
        <v>1180.7987108504999</v>
      </c>
      <c r="N702">
        <v>0.13521193363525999</v>
      </c>
      <c r="O702">
        <v>58.110337674201702</v>
      </c>
      <c r="P702">
        <v>27.304686269201699</v>
      </c>
      <c r="Q702">
        <v>18.298899292363199</v>
      </c>
      <c r="R702">
        <v>14593331</v>
      </c>
      <c r="S702">
        <v>3.1177630008602256E-2</v>
      </c>
      <c r="T702">
        <v>43.314999999999998</v>
      </c>
      <c r="U702">
        <v>6.08</v>
      </c>
      <c r="V702">
        <v>5.5214071000000002</v>
      </c>
      <c r="W702">
        <v>3.40097</v>
      </c>
      <c r="X702">
        <v>44.227580000000003</v>
      </c>
      <c r="Y702">
        <v>21.7</v>
      </c>
      <c r="Z702">
        <v>10.8409366679467</v>
      </c>
      <c r="AF702">
        <v>0</v>
      </c>
      <c r="AJ702">
        <v>-0.1593709588050842</v>
      </c>
      <c r="AK702">
        <v>-0.22443972527980799</v>
      </c>
      <c r="AL702">
        <v>3.6095500000000003E-2</v>
      </c>
      <c r="AM702">
        <f>VLOOKUP(D702,[1]Sheet1!$C$1:$D$191,2,FALSE)</f>
        <v>90</v>
      </c>
    </row>
    <row r="703" spans="1:39" x14ac:dyDescent="0.35">
      <c r="A703">
        <v>2016</v>
      </c>
      <c r="B703" t="s">
        <v>93</v>
      </c>
      <c r="C703">
        <v>90</v>
      </c>
      <c r="D703" t="s">
        <v>290</v>
      </c>
      <c r="E703">
        <v>886561.88996911317</v>
      </c>
      <c r="F703">
        <v>1431850</v>
      </c>
      <c r="G703">
        <v>2318411.8899691133</v>
      </c>
      <c r="H703">
        <v>18904543055.865601</v>
      </c>
      <c r="I703">
        <v>19040312333.186401</v>
      </c>
      <c r="J703">
        <v>6.3560685718185184E-2</v>
      </c>
      <c r="K703">
        <v>1257.4090691592801</v>
      </c>
      <c r="L703">
        <v>3.2350357239346421E-2</v>
      </c>
      <c r="M703">
        <v>1218.0061355543801</v>
      </c>
      <c r="N703">
        <v>0.83728494255743402</v>
      </c>
      <c r="O703">
        <v>54.108169207213898</v>
      </c>
      <c r="P703">
        <v>27.798279873530198</v>
      </c>
      <c r="Q703">
        <v>18.310071830152101</v>
      </c>
      <c r="R703">
        <v>15034521</v>
      </c>
      <c r="S703">
        <v>3.0232302686754656E-2</v>
      </c>
      <c r="T703">
        <v>46.298000000000002</v>
      </c>
      <c r="U703">
        <v>6.21</v>
      </c>
      <c r="V703">
        <v>5.7010265999999996</v>
      </c>
      <c r="W703">
        <v>3.3232080000000002</v>
      </c>
      <c r="X703">
        <v>42.38993</v>
      </c>
      <c r="Y703">
        <v>25.6648</v>
      </c>
      <c r="Z703">
        <v>10.8875992426245</v>
      </c>
      <c r="AF703">
        <v>0</v>
      </c>
      <c r="AJ703">
        <v>-0.1238339990377426</v>
      </c>
      <c r="AK703">
        <v>-0.21080836653709409</v>
      </c>
      <c r="AL703">
        <v>0.11732097499999999</v>
      </c>
      <c r="AM703">
        <f>VLOOKUP(D703,[1]Sheet1!$C$1:$D$191,2,FALSE)</f>
        <v>90</v>
      </c>
    </row>
    <row r="704" spans="1:39" x14ac:dyDescent="0.35">
      <c r="A704">
        <v>2017</v>
      </c>
      <c r="B704" t="s">
        <v>93</v>
      </c>
      <c r="C704">
        <v>90</v>
      </c>
      <c r="D704" t="s">
        <v>290</v>
      </c>
      <c r="E704">
        <v>860876.02</v>
      </c>
      <c r="F704">
        <v>2736700</v>
      </c>
      <c r="G704">
        <v>3597576.02</v>
      </c>
      <c r="H704">
        <v>20304894471.312302</v>
      </c>
      <c r="I704">
        <v>20996562943.5979</v>
      </c>
      <c r="J704">
        <v>7.4074861863016969E-2</v>
      </c>
      <c r="K704">
        <v>1312.10932776049</v>
      </c>
      <c r="L704">
        <v>4.3502357301894799E-2</v>
      </c>
      <c r="M704">
        <v>1257.4090691592801</v>
      </c>
      <c r="N704">
        <v>1.3181531484778</v>
      </c>
      <c r="O704">
        <v>57.705279845561698</v>
      </c>
      <c r="P704">
        <v>29.664784802757001</v>
      </c>
      <c r="Q704">
        <v>19.787905935151102</v>
      </c>
      <c r="R704">
        <v>15475002</v>
      </c>
      <c r="S704">
        <v>2.9297973643456949E-2</v>
      </c>
      <c r="T704">
        <v>40.590000000000003</v>
      </c>
      <c r="U704">
        <v>6.15</v>
      </c>
      <c r="V704">
        <v>5.7011696000000001</v>
      </c>
      <c r="W704">
        <v>3.888477</v>
      </c>
      <c r="X704">
        <v>41.943739999999998</v>
      </c>
      <c r="Y704">
        <v>29.6431</v>
      </c>
      <c r="Z704">
        <v>11.3494415127099</v>
      </c>
      <c r="AF704">
        <v>0</v>
      </c>
      <c r="AJ704">
        <v>-0.17157009243965149</v>
      </c>
      <c r="AK704">
        <v>-0.1957072168588638</v>
      </c>
      <c r="AL704">
        <v>0.102958725</v>
      </c>
      <c r="AM704">
        <f>VLOOKUP(D704,[1]Sheet1!$C$1:$D$191,2,FALSE)</f>
        <v>90</v>
      </c>
    </row>
    <row r="705" spans="1:39" x14ac:dyDescent="0.35">
      <c r="A705">
        <v>2018</v>
      </c>
      <c r="B705" t="s">
        <v>93</v>
      </c>
      <c r="C705">
        <v>90</v>
      </c>
      <c r="D705" t="s">
        <v>290</v>
      </c>
      <c r="E705">
        <v>70024.247600000002</v>
      </c>
      <c r="F705">
        <v>3576703.1217999998</v>
      </c>
      <c r="G705">
        <v>3646727.3694000002</v>
      </c>
      <c r="H705">
        <v>21565674310.7132</v>
      </c>
      <c r="I705">
        <v>23116701556.1381</v>
      </c>
      <c r="J705">
        <v>6.2092410338905543E-2</v>
      </c>
      <c r="K705">
        <v>1355.0961086371201</v>
      </c>
      <c r="L705">
        <v>3.2761584699653006E-2</v>
      </c>
      <c r="M705">
        <v>1312.10932776049</v>
      </c>
      <c r="N705">
        <v>0.46098564246428197</v>
      </c>
      <c r="O705">
        <v>61.789839479318303</v>
      </c>
      <c r="P705">
        <v>29.551616586005199</v>
      </c>
      <c r="Q705">
        <v>19.847133711610098</v>
      </c>
      <c r="R705">
        <v>15914498</v>
      </c>
      <c r="S705">
        <v>2.840038405164665E-2</v>
      </c>
      <c r="U705">
        <v>6.15</v>
      </c>
      <c r="V705">
        <v>5.5271401999999998</v>
      </c>
      <c r="W705">
        <v>3.641756</v>
      </c>
      <c r="X705">
        <v>41.943199999999997</v>
      </c>
      <c r="Y705">
        <v>35.299999999999997</v>
      </c>
      <c r="Z705">
        <v>12.417837505994701</v>
      </c>
      <c r="AF705">
        <v>0</v>
      </c>
      <c r="AJ705">
        <v>-0.22459413111209869</v>
      </c>
      <c r="AK705">
        <v>-0.14764256775379181</v>
      </c>
      <c r="AL705">
        <v>4.7762174999999997E-2</v>
      </c>
      <c r="AM705">
        <f>VLOOKUP(D705,[1]Sheet1!$C$1:$D$191,2,FALSE)</f>
        <v>90</v>
      </c>
    </row>
    <row r="706" spans="1:39" x14ac:dyDescent="0.35">
      <c r="A706">
        <v>2019</v>
      </c>
      <c r="B706" t="s">
        <v>93</v>
      </c>
      <c r="C706">
        <v>90</v>
      </c>
      <c r="D706" t="s">
        <v>290</v>
      </c>
      <c r="E706">
        <v>447938.21409875999</v>
      </c>
      <c r="F706">
        <v>3783007.1434470001</v>
      </c>
      <c r="G706">
        <v>4230945.3575457605</v>
      </c>
      <c r="H706">
        <v>22560634320.126999</v>
      </c>
      <c r="I706">
        <v>23403995992.135399</v>
      </c>
      <c r="J706">
        <v>4.613628097497198E-2</v>
      </c>
      <c r="K706">
        <v>1379.6087524986101</v>
      </c>
      <c r="L706">
        <v>1.8089229026082475E-2</v>
      </c>
      <c r="M706">
        <v>1355.0961086371201</v>
      </c>
      <c r="N706">
        <v>1.76011151192938</v>
      </c>
      <c r="O706">
        <v>64.236250606100498</v>
      </c>
      <c r="P706">
        <v>29.516665832367</v>
      </c>
      <c r="Q706">
        <v>21.233000897259799</v>
      </c>
      <c r="R706">
        <v>16352922</v>
      </c>
      <c r="S706">
        <v>2.754871689952143E-2</v>
      </c>
      <c r="T706">
        <v>49.686</v>
      </c>
      <c r="U706">
        <v>5.81</v>
      </c>
      <c r="V706">
        <v>6.0976774999999996</v>
      </c>
      <c r="W706">
        <v>4.2843090000000004</v>
      </c>
      <c r="X706">
        <v>42.934199999999997</v>
      </c>
      <c r="Y706">
        <v>43.4</v>
      </c>
      <c r="Z706">
        <v>12.60825139125</v>
      </c>
      <c r="AF706">
        <v>0</v>
      </c>
      <c r="AJ706">
        <v>-0.21520823240280151</v>
      </c>
      <c r="AK706">
        <v>-0.17526425421237951</v>
      </c>
      <c r="AL706">
        <v>6.6267049999999994E-2</v>
      </c>
      <c r="AM706">
        <f>VLOOKUP(D706,[1]Sheet1!$C$1:$D$191,2,FALSE)</f>
        <v>90</v>
      </c>
    </row>
    <row r="707" spans="1:39" x14ac:dyDescent="0.35">
      <c r="A707">
        <v>2020</v>
      </c>
      <c r="B707" t="s">
        <v>93</v>
      </c>
      <c r="C707">
        <v>90</v>
      </c>
      <c r="D707" t="s">
        <v>290</v>
      </c>
      <c r="E707">
        <v>284885.64250527002</v>
      </c>
      <c r="F707">
        <v>4475331.5385600002</v>
      </c>
      <c r="G707">
        <v>4760217.1810652707</v>
      </c>
      <c r="H707">
        <v>22863414676.284901</v>
      </c>
      <c r="I707">
        <v>24530513037.751801</v>
      </c>
      <c r="J707">
        <v>1.3420737726677418E-2</v>
      </c>
      <c r="K707">
        <v>1361.7914374864599</v>
      </c>
      <c r="L707">
        <v>-1.2914759332949452E-2</v>
      </c>
      <c r="M707">
        <v>1379.6087524986101</v>
      </c>
      <c r="N707">
        <v>2.5431468568165201</v>
      </c>
      <c r="O707">
        <v>60.0468716137065</v>
      </c>
      <c r="P707">
        <v>29.306753974363001</v>
      </c>
      <c r="Q707">
        <v>20.945922687062101</v>
      </c>
      <c r="R707">
        <v>16789219</v>
      </c>
      <c r="S707">
        <v>2.6680063660794076E-2</v>
      </c>
      <c r="U707">
        <v>5.67</v>
      </c>
      <c r="V707">
        <v>6.4187729999999998</v>
      </c>
      <c r="W707">
        <v>1.633702</v>
      </c>
      <c r="X707">
        <v>79.444999999999993</v>
      </c>
      <c r="Y707">
        <v>53.308799999999998</v>
      </c>
      <c r="Z707">
        <v>13.313662486093101</v>
      </c>
      <c r="AF707">
        <v>0</v>
      </c>
      <c r="AJ707">
        <v>-0.32080376148223883</v>
      </c>
      <c r="AK707">
        <v>-0.29421716928482061</v>
      </c>
      <c r="AL707">
        <v>0.1052906</v>
      </c>
      <c r="AM707">
        <f>VLOOKUP(D707,[1]Sheet1!$C$1:$D$191,2,FALSE)</f>
        <v>90</v>
      </c>
    </row>
    <row r="708" spans="1:39" x14ac:dyDescent="0.35">
      <c r="A708">
        <v>2013</v>
      </c>
      <c r="B708" t="s">
        <v>94</v>
      </c>
      <c r="C708">
        <v>91</v>
      </c>
      <c r="D708" t="s">
        <v>291</v>
      </c>
      <c r="E708">
        <v>31846</v>
      </c>
      <c r="F708">
        <v>1806100</v>
      </c>
      <c r="G708">
        <v>1837946</v>
      </c>
      <c r="H708">
        <v>8001096521.0971203</v>
      </c>
      <c r="I708">
        <v>7697098118.1992197</v>
      </c>
      <c r="J708">
        <v>0.21079014163642759</v>
      </c>
      <c r="K708">
        <v>1191.69433194611</v>
      </c>
      <c r="L708">
        <v>0.18140048103173134</v>
      </c>
      <c r="M708">
        <v>1008.71326115035</v>
      </c>
      <c r="N708">
        <v>5.5241287799426599</v>
      </c>
      <c r="O708">
        <v>55.903900200235597</v>
      </c>
      <c r="P708">
        <v>3.0487622294420899E-3</v>
      </c>
      <c r="R708">
        <v>6714051</v>
      </c>
      <c r="S708">
        <v>2.4876966851267272E-2</v>
      </c>
      <c r="U708">
        <v>4.6399999999999997</v>
      </c>
      <c r="V708">
        <v>0</v>
      </c>
      <c r="W708">
        <v>11.21124</v>
      </c>
      <c r="X708">
        <v>69.886089999999996</v>
      </c>
      <c r="Y708">
        <v>4</v>
      </c>
      <c r="AJ708">
        <v>-0.86782056093215942</v>
      </c>
      <c r="AK708">
        <v>-0.72058451175689697</v>
      </c>
      <c r="AL708">
        <v>6.1869300000000002E-2</v>
      </c>
      <c r="AM708">
        <f>VLOOKUP(D708,[1]Sheet1!$C$1:$D$191,2,FALSE)</f>
        <v>91</v>
      </c>
    </row>
    <row r="709" spans="1:39" x14ac:dyDescent="0.35">
      <c r="A709">
        <v>2014</v>
      </c>
      <c r="B709" t="s">
        <v>94</v>
      </c>
      <c r="C709">
        <v>91</v>
      </c>
      <c r="D709" t="s">
        <v>291</v>
      </c>
      <c r="E709">
        <v>33552.887411095697</v>
      </c>
      <c r="F709">
        <v>1400725</v>
      </c>
      <c r="G709">
        <v>1434277.8874110957</v>
      </c>
      <c r="H709">
        <v>8365886796.8903198</v>
      </c>
      <c r="I709">
        <v>7845456215.2780704</v>
      </c>
      <c r="J709">
        <v>4.5592535327042778E-2</v>
      </c>
      <c r="K709">
        <v>1216.6111695157199</v>
      </c>
      <c r="L709">
        <v>2.0908748914597253E-2</v>
      </c>
      <c r="M709">
        <v>1191.69433194611</v>
      </c>
      <c r="N709">
        <v>4.63931171409667</v>
      </c>
      <c r="O709">
        <v>53.175987767088003</v>
      </c>
      <c r="P709">
        <v>3.1253651361980101E-3</v>
      </c>
      <c r="R709">
        <v>6876385</v>
      </c>
      <c r="S709">
        <v>2.4178249465188751E-2</v>
      </c>
      <c r="T709">
        <v>47.936</v>
      </c>
      <c r="U709">
        <v>4.5599999999999996</v>
      </c>
      <c r="V709">
        <v>0</v>
      </c>
      <c r="W709">
        <v>6.1068429999999996</v>
      </c>
      <c r="X709">
        <v>0</v>
      </c>
      <c r="Y709">
        <v>6.0572999999999997</v>
      </c>
      <c r="AJ709">
        <v>-0.93561369180679321</v>
      </c>
      <c r="AK709">
        <v>-0.82283198833465576</v>
      </c>
      <c r="AL709">
        <v>8.2656825000000003E-2</v>
      </c>
      <c r="AM709">
        <f>VLOOKUP(D709,[1]Sheet1!$C$1:$D$191,2,FALSE)</f>
        <v>91</v>
      </c>
    </row>
    <row r="710" spans="1:39" x14ac:dyDescent="0.35">
      <c r="A710">
        <v>2015</v>
      </c>
      <c r="B710" t="s">
        <v>94</v>
      </c>
      <c r="C710">
        <v>91</v>
      </c>
      <c r="D710" t="s">
        <v>291</v>
      </c>
      <c r="E710">
        <v>45256.691006417903</v>
      </c>
      <c r="F710">
        <v>560025</v>
      </c>
      <c r="G710">
        <v>605281.69100641785</v>
      </c>
      <c r="H710">
        <v>6651626733.6485395</v>
      </c>
      <c r="I710">
        <v>6651626733.6485395</v>
      </c>
      <c r="J710">
        <v>-0.20491074106799856</v>
      </c>
      <c r="K710">
        <v>945.14816848062901</v>
      </c>
      <c r="L710">
        <v>-0.22313045271740234</v>
      </c>
      <c r="M710">
        <v>1216.6111695157199</v>
      </c>
      <c r="N710">
        <v>6.6894356249868103</v>
      </c>
      <c r="O710">
        <v>42.368849656580302</v>
      </c>
      <c r="P710">
        <v>3.4161743588991202E-3</v>
      </c>
      <c r="R710">
        <v>7037655</v>
      </c>
      <c r="S710">
        <v>2.345272988641561E-2</v>
      </c>
      <c r="U710">
        <v>4.55</v>
      </c>
      <c r="V710">
        <v>0</v>
      </c>
      <c r="W710">
        <v>7.1384740000000004</v>
      </c>
      <c r="X710">
        <v>0</v>
      </c>
      <c r="Y710">
        <v>6.3444200000000004</v>
      </c>
      <c r="AJ710">
        <v>-0.88052201271057129</v>
      </c>
      <c r="AK710">
        <v>-0.92869710922241211</v>
      </c>
      <c r="AL710">
        <v>7.7216574999999996E-2</v>
      </c>
      <c r="AM710">
        <f>VLOOKUP(D710,[1]Sheet1!$C$1:$D$191,2,FALSE)</f>
        <v>91</v>
      </c>
    </row>
    <row r="711" spans="1:39" x14ac:dyDescent="0.35">
      <c r="A711">
        <v>2016</v>
      </c>
      <c r="B711" t="s">
        <v>94</v>
      </c>
      <c r="C711">
        <v>91</v>
      </c>
      <c r="D711" t="s">
        <v>291</v>
      </c>
      <c r="E711">
        <v>107679.7966182166</v>
      </c>
      <c r="F711">
        <v>1121750</v>
      </c>
      <c r="G711">
        <v>1229429.7966182167</v>
      </c>
      <c r="H711">
        <v>7073787380.1598196</v>
      </c>
      <c r="I711">
        <v>6042615859.6107397</v>
      </c>
      <c r="J711">
        <v>6.34672785193581E-2</v>
      </c>
      <c r="K711">
        <v>981.74397892223897</v>
      </c>
      <c r="L711">
        <v>3.8719654401319401E-2</v>
      </c>
      <c r="M711">
        <v>945.14816848062901</v>
      </c>
      <c r="N711">
        <v>10.8860609413903</v>
      </c>
      <c r="O711">
        <v>48.2965495152202</v>
      </c>
      <c r="P711">
        <v>3.5423485873362398E-3</v>
      </c>
      <c r="R711">
        <v>7205328</v>
      </c>
      <c r="S711">
        <v>2.3825123567438301E-2</v>
      </c>
      <c r="U711">
        <v>4.55</v>
      </c>
      <c r="V711">
        <v>0</v>
      </c>
      <c r="W711">
        <v>7.7888970000000004</v>
      </c>
      <c r="X711">
        <v>0</v>
      </c>
      <c r="Y711">
        <v>11.773199999999999</v>
      </c>
      <c r="AJ711">
        <v>-0.80318152904510498</v>
      </c>
      <c r="AK711">
        <v>-0.94893002510070801</v>
      </c>
      <c r="AL711">
        <v>7.4667575E-2</v>
      </c>
      <c r="AM711">
        <f>VLOOKUP(D711,[1]Sheet1!$C$1:$D$191,2,FALSE)</f>
        <v>91</v>
      </c>
    </row>
    <row r="712" spans="1:39" x14ac:dyDescent="0.35">
      <c r="A712">
        <v>2017</v>
      </c>
      <c r="B712" t="s">
        <v>94</v>
      </c>
      <c r="C712">
        <v>91</v>
      </c>
      <c r="D712" t="s">
        <v>291</v>
      </c>
      <c r="E712">
        <v>322426.26783000003</v>
      </c>
      <c r="F712">
        <v>1237125</v>
      </c>
      <c r="G712">
        <v>1559551.26783</v>
      </c>
      <c r="H712">
        <v>7339323438.1880503</v>
      </c>
      <c r="I712">
        <v>5818480351.6370602</v>
      </c>
      <c r="J712">
        <v>3.753803214003746E-2</v>
      </c>
      <c r="K712">
        <v>994.58274264100805</v>
      </c>
      <c r="L712">
        <v>1.307750696150285E-2</v>
      </c>
      <c r="M712">
        <v>981.74397892223897</v>
      </c>
      <c r="N712">
        <v>18.221509400338601</v>
      </c>
      <c r="O712">
        <v>47.615137233832002</v>
      </c>
      <c r="P712">
        <v>3.2884239039179899E-3</v>
      </c>
      <c r="R712">
        <v>7379299</v>
      </c>
      <c r="S712">
        <v>2.4144771757788126E-2</v>
      </c>
      <c r="U712">
        <v>4.66</v>
      </c>
      <c r="V712">
        <v>0</v>
      </c>
      <c r="W712">
        <v>13.675420000000001</v>
      </c>
      <c r="X712">
        <v>0</v>
      </c>
      <c r="Y712">
        <v>13.2369</v>
      </c>
      <c r="AJ712">
        <v>-0.80648940801620483</v>
      </c>
      <c r="AK712">
        <v>-0.94986635446548462</v>
      </c>
      <c r="AL712">
        <v>3.8043449999999999E-2</v>
      </c>
      <c r="AM712">
        <f>VLOOKUP(D712,[1]Sheet1!$C$1:$D$191,2,FALSE)</f>
        <v>91</v>
      </c>
    </row>
    <row r="713" spans="1:39" x14ac:dyDescent="0.35">
      <c r="A713">
        <v>2018</v>
      </c>
      <c r="B713" t="s">
        <v>94</v>
      </c>
      <c r="C713">
        <v>91</v>
      </c>
      <c r="D713" t="s">
        <v>291</v>
      </c>
      <c r="E713">
        <v>53558.385664000001</v>
      </c>
      <c r="F713">
        <v>1292800</v>
      </c>
      <c r="G713">
        <v>1346358.3856639999</v>
      </c>
      <c r="H713">
        <v>7594210994.1722898</v>
      </c>
      <c r="I713">
        <v>6390514688.5281601</v>
      </c>
      <c r="J713">
        <v>3.4729026201244351E-2</v>
      </c>
      <c r="K713">
        <v>1005.24821808651</v>
      </c>
      <c r="L713">
        <v>1.0723567771929029E-2</v>
      </c>
      <c r="M713">
        <v>994.58274264100805</v>
      </c>
      <c r="N713">
        <v>16.029544769369899</v>
      </c>
      <c r="O713">
        <v>37.377460311941199</v>
      </c>
      <c r="P713">
        <v>3.6406032253703501E-3</v>
      </c>
      <c r="R713">
        <v>7554563</v>
      </c>
      <c r="S713">
        <v>2.3750765485989929E-2</v>
      </c>
      <c r="T713">
        <v>45.667000000000002</v>
      </c>
      <c r="U713">
        <v>4.66</v>
      </c>
      <c r="V713">
        <v>0</v>
      </c>
      <c r="W713">
        <v>12.938549999999999</v>
      </c>
      <c r="X713">
        <v>0</v>
      </c>
      <c r="Y713">
        <v>14.4223</v>
      </c>
      <c r="AI713">
        <v>1</v>
      </c>
      <c r="AJ713">
        <v>-0.79717016220092773</v>
      </c>
      <c r="AK713">
        <v>-0.91837191581726074</v>
      </c>
      <c r="AL713">
        <v>5.1623025000000003E-2</v>
      </c>
      <c r="AM713">
        <f>VLOOKUP(D713,[1]Sheet1!$C$1:$D$191,2,FALSE)</f>
        <v>91</v>
      </c>
    </row>
    <row r="714" spans="1:39" x14ac:dyDescent="0.35">
      <c r="A714">
        <v>2019</v>
      </c>
      <c r="B714" t="s">
        <v>94</v>
      </c>
      <c r="C714">
        <v>91</v>
      </c>
      <c r="D714" t="s">
        <v>291</v>
      </c>
      <c r="E714">
        <v>15890.286120549999</v>
      </c>
      <c r="F714">
        <v>558300</v>
      </c>
      <c r="G714">
        <v>574190.28612055001</v>
      </c>
      <c r="H714">
        <v>8012098354.4133596</v>
      </c>
      <c r="I714">
        <v>6523577590.3831902</v>
      </c>
      <c r="J714">
        <v>5.5027093737815787E-2</v>
      </c>
      <c r="K714">
        <v>1036.22706679474</v>
      </c>
      <c r="L714">
        <v>3.0817113774345532E-2</v>
      </c>
      <c r="M714">
        <v>1005.24821808651</v>
      </c>
      <c r="N714">
        <v>14.804999090602101</v>
      </c>
      <c r="O714">
        <v>37.561952996726099</v>
      </c>
      <c r="P714">
        <v>3.8596499470339601E-3</v>
      </c>
      <c r="R714">
        <v>7731991</v>
      </c>
      <c r="S714">
        <v>2.3486202974281899E-2</v>
      </c>
      <c r="U714">
        <v>4.8600000000000003</v>
      </c>
      <c r="V714">
        <v>0</v>
      </c>
      <c r="W714">
        <v>14.68919</v>
      </c>
      <c r="X714">
        <v>0</v>
      </c>
      <c r="Y714">
        <v>15.713699999999999</v>
      </c>
      <c r="AI714">
        <v>1</v>
      </c>
      <c r="AJ714">
        <v>-0.80406773090362549</v>
      </c>
      <c r="AK714">
        <v>-0.9169003963470459</v>
      </c>
      <c r="AL714">
        <v>3.6568899999999988E-2</v>
      </c>
      <c r="AM714">
        <f>VLOOKUP(D714,[1]Sheet1!$C$1:$D$191,2,FALSE)</f>
        <v>91</v>
      </c>
    </row>
    <row r="715" spans="1:39" x14ac:dyDescent="0.35">
      <c r="A715">
        <v>2020</v>
      </c>
      <c r="B715" t="s">
        <v>94</v>
      </c>
      <c r="C715">
        <v>91</v>
      </c>
      <c r="D715" t="s">
        <v>291</v>
      </c>
      <c r="E715">
        <v>44235.596286797503</v>
      </c>
      <c r="F715">
        <v>570225</v>
      </c>
      <c r="G715">
        <v>614460.59628679755</v>
      </c>
      <c r="H715">
        <v>7911678797.2232704</v>
      </c>
      <c r="I715">
        <v>6688594757.6212902</v>
      </c>
      <c r="J715">
        <v>-1.2533490322765999E-2</v>
      </c>
      <c r="K715">
        <v>999.88888513970699</v>
      </c>
      <c r="L715">
        <v>-3.5067778886952262E-2</v>
      </c>
      <c r="M715">
        <v>1036.22706679474</v>
      </c>
      <c r="N715">
        <v>13.446871110105199</v>
      </c>
      <c r="O715">
        <v>30.611787132480998</v>
      </c>
      <c r="P715">
        <v>3.61973605156186E-3</v>
      </c>
      <c r="R715">
        <v>7912558</v>
      </c>
      <c r="S715">
        <v>2.3353234632580405E-2</v>
      </c>
      <c r="U715">
        <v>4.8600000000000003</v>
      </c>
      <c r="V715">
        <v>0</v>
      </c>
      <c r="W715">
        <v>0</v>
      </c>
      <c r="X715">
        <v>0</v>
      </c>
      <c r="Y715">
        <v>17.120799999999999</v>
      </c>
      <c r="AI715">
        <v>1</v>
      </c>
      <c r="AJ715">
        <v>-0.79450100660324097</v>
      </c>
      <c r="AK715">
        <v>-0.90462321043014526</v>
      </c>
      <c r="AL715">
        <v>9.4257149999999998E-2</v>
      </c>
      <c r="AM715">
        <f>VLOOKUP(D715,[1]Sheet1!$C$1:$D$191,2,FALSE)</f>
        <v>91</v>
      </c>
    </row>
    <row r="716" spans="1:39" x14ac:dyDescent="0.35">
      <c r="A716">
        <v>2013</v>
      </c>
      <c r="B716" t="s">
        <v>95</v>
      </c>
      <c r="C716">
        <v>92</v>
      </c>
      <c r="D716" t="s">
        <v>292</v>
      </c>
      <c r="E716">
        <v>8191342.3300000001</v>
      </c>
      <c r="G716">
        <v>8191342.3300000001</v>
      </c>
      <c r="H716">
        <v>287769788882.22101</v>
      </c>
      <c r="I716">
        <v>307576360584.992</v>
      </c>
      <c r="J716">
        <v>4.817630991206464E-2</v>
      </c>
      <c r="K716">
        <v>53298.972855828601</v>
      </c>
      <c r="L716">
        <v>3.1339791489926841E-2</v>
      </c>
      <c r="M716">
        <v>51679.352717333</v>
      </c>
      <c r="N716">
        <v>2.35860415399832</v>
      </c>
      <c r="O716">
        <v>367.041780049019</v>
      </c>
      <c r="P716">
        <v>124.065951568619</v>
      </c>
      <c r="Q716">
        <v>12.375337873564201</v>
      </c>
      <c r="R716">
        <v>5399162</v>
      </c>
      <c r="S716">
        <v>1.6324899476454966E-2</v>
      </c>
      <c r="U716">
        <v>5.92</v>
      </c>
      <c r="V716">
        <v>58.206833000000003</v>
      </c>
      <c r="W716">
        <v>1.593534</v>
      </c>
      <c r="X716">
        <v>86.651730000000001</v>
      </c>
      <c r="Y716">
        <v>80.902100000000004</v>
      </c>
      <c r="AA716">
        <v>2016</v>
      </c>
      <c r="AB716">
        <v>2020</v>
      </c>
      <c r="AC716">
        <v>0</v>
      </c>
      <c r="AD716">
        <v>0</v>
      </c>
      <c r="AE716">
        <v>4</v>
      </c>
      <c r="AF716">
        <v>0</v>
      </c>
      <c r="AJ716">
        <v>1.697257518768311</v>
      </c>
      <c r="AK716">
        <v>1.9601083993911741</v>
      </c>
      <c r="AL716">
        <v>1.5071424999999999E-2</v>
      </c>
      <c r="AM716">
        <f>VLOOKUP(D716,[1]Sheet1!$C$1:$D$191,2,FALSE)</f>
        <v>92</v>
      </c>
    </row>
    <row r="717" spans="1:39" x14ac:dyDescent="0.35">
      <c r="A717">
        <v>2014</v>
      </c>
      <c r="B717" t="s">
        <v>95</v>
      </c>
      <c r="C717">
        <v>92</v>
      </c>
      <c r="D717" t="s">
        <v>292</v>
      </c>
      <c r="E717">
        <v>16957928.649999999</v>
      </c>
      <c r="F717">
        <v>5370000</v>
      </c>
      <c r="G717">
        <v>22327928.649999999</v>
      </c>
      <c r="H717">
        <v>299095084828.97803</v>
      </c>
      <c r="I717">
        <v>314863580758.45502</v>
      </c>
      <c r="J717">
        <v>3.9355402770901216E-2</v>
      </c>
      <c r="K717">
        <v>54681.933645825302</v>
      </c>
      <c r="L717">
        <v>2.5947231548674492E-2</v>
      </c>
      <c r="M717">
        <v>53298.972855828601</v>
      </c>
      <c r="N717">
        <v>1.02514803039391</v>
      </c>
      <c r="O717">
        <v>360.46731916623702</v>
      </c>
      <c r="P717">
        <v>128.12976330994599</v>
      </c>
      <c r="Q717">
        <v>13.1510655902688</v>
      </c>
      <c r="R717">
        <v>5469724</v>
      </c>
      <c r="S717">
        <v>1.3069065162334451E-2</v>
      </c>
      <c r="T717">
        <v>96.62</v>
      </c>
      <c r="U717">
        <v>6.03</v>
      </c>
      <c r="V717">
        <v>57.500557999999998</v>
      </c>
      <c r="W717">
        <v>1.515277</v>
      </c>
      <c r="X717">
        <v>87.62791</v>
      </c>
      <c r="Y717">
        <v>79.029200000000003</v>
      </c>
      <c r="AA717">
        <v>2016</v>
      </c>
      <c r="AB717">
        <v>2020</v>
      </c>
      <c r="AC717">
        <v>0</v>
      </c>
      <c r="AD717">
        <v>0</v>
      </c>
      <c r="AE717">
        <v>4</v>
      </c>
      <c r="AF717">
        <v>0</v>
      </c>
      <c r="AJ717">
        <v>1.820670485496521</v>
      </c>
      <c r="AK717">
        <v>2.2263600826263432</v>
      </c>
      <c r="AL717">
        <v>3.0887000000000002E-3</v>
      </c>
      <c r="AM717">
        <f>VLOOKUP(D717,[1]Sheet1!$C$1:$D$191,2,FALSE)</f>
        <v>92</v>
      </c>
    </row>
    <row r="718" spans="1:39" x14ac:dyDescent="0.35">
      <c r="A718">
        <v>2015</v>
      </c>
      <c r="B718" t="s">
        <v>95</v>
      </c>
      <c r="C718">
        <v>92</v>
      </c>
      <c r="D718" t="s">
        <v>292</v>
      </c>
      <c r="E718">
        <v>18431253.66</v>
      </c>
      <c r="F718">
        <v>21330000</v>
      </c>
      <c r="G718">
        <v>39761253.659999996</v>
      </c>
      <c r="H718">
        <v>307998545269.39801</v>
      </c>
      <c r="I718">
        <v>307998545269.39801</v>
      </c>
      <c r="J718">
        <v>2.9767993163481651E-2</v>
      </c>
      <c r="K718">
        <v>55645.606861460597</v>
      </c>
      <c r="L718">
        <v>1.7623246863891166E-2</v>
      </c>
      <c r="M718">
        <v>54681.933645825302</v>
      </c>
      <c r="N718">
        <v>-0.52261816707529796</v>
      </c>
      <c r="O718">
        <v>329.47139894026202</v>
      </c>
      <c r="P718">
        <v>122.421353845761</v>
      </c>
      <c r="Q718">
        <v>15.925525943093801</v>
      </c>
      <c r="R718">
        <v>5535002</v>
      </c>
      <c r="S718">
        <v>1.1934423016590964E-2</v>
      </c>
      <c r="U718">
        <v>6.14</v>
      </c>
      <c r="V718">
        <v>58.04607</v>
      </c>
      <c r="W718">
        <v>1.4159440000000001</v>
      </c>
      <c r="X718">
        <v>87.239710000000002</v>
      </c>
      <c r="Y718">
        <v>79.013000000000005</v>
      </c>
      <c r="AA718">
        <v>2016</v>
      </c>
      <c r="AB718">
        <v>2020</v>
      </c>
      <c r="AC718">
        <v>0</v>
      </c>
      <c r="AD718">
        <v>0</v>
      </c>
      <c r="AE718">
        <v>4</v>
      </c>
      <c r="AF718">
        <v>0</v>
      </c>
      <c r="AJ718">
        <v>1.779143214225769</v>
      </c>
      <c r="AK718">
        <v>2.2522354125976558</v>
      </c>
      <c r="AL718">
        <v>3.2452725000000002E-2</v>
      </c>
      <c r="AM718">
        <f>VLOOKUP(D718,[1]Sheet1!$C$1:$D$191,2,FALSE)</f>
        <v>92</v>
      </c>
    </row>
    <row r="719" spans="1:39" x14ac:dyDescent="0.35">
      <c r="A719">
        <v>2016</v>
      </c>
      <c r="B719" t="s">
        <v>95</v>
      </c>
      <c r="C719">
        <v>92</v>
      </c>
      <c r="D719" t="s">
        <v>292</v>
      </c>
      <c r="E719">
        <v>62828943.005014092</v>
      </c>
      <c r="F719">
        <v>100919654</v>
      </c>
      <c r="G719">
        <v>163748597.00501409</v>
      </c>
      <c r="H719">
        <v>319051515647.44598</v>
      </c>
      <c r="I719">
        <v>319053943915.005</v>
      </c>
      <c r="J719">
        <v>3.588643695826628E-2</v>
      </c>
      <c r="K719">
        <v>56899.485124514998</v>
      </c>
      <c r="L719">
        <v>2.2533284005261164E-2</v>
      </c>
      <c r="M719">
        <v>55645.606861460597</v>
      </c>
      <c r="N719">
        <v>-0.53226873971625299</v>
      </c>
      <c r="O719">
        <v>303.22259445987299</v>
      </c>
      <c r="P719">
        <v>123.712390341201</v>
      </c>
      <c r="Q719">
        <v>14.442641671866101</v>
      </c>
      <c r="R719">
        <v>5607283</v>
      </c>
      <c r="S719">
        <v>1.3058893203651958E-2</v>
      </c>
      <c r="U719">
        <v>6.38</v>
      </c>
      <c r="V719">
        <v>55.813215999999997</v>
      </c>
      <c r="W719">
        <v>1.3894340000000001</v>
      </c>
      <c r="X719">
        <v>84.953029999999998</v>
      </c>
      <c r="Y719">
        <v>84.452299999999994</v>
      </c>
      <c r="Z719">
        <v>83.940977823664795</v>
      </c>
      <c r="AA719">
        <v>2016</v>
      </c>
      <c r="AB719">
        <v>2020</v>
      </c>
      <c r="AC719">
        <v>1</v>
      </c>
      <c r="AD719">
        <v>0</v>
      </c>
      <c r="AE719">
        <v>4</v>
      </c>
      <c r="AF719">
        <v>0</v>
      </c>
      <c r="AG719">
        <v>0</v>
      </c>
      <c r="AI719">
        <v>1</v>
      </c>
      <c r="AJ719">
        <v>1.7862328290939331</v>
      </c>
      <c r="AK719">
        <v>2.1706433296203609</v>
      </c>
      <c r="AL719">
        <v>2.4921949999999998E-2</v>
      </c>
      <c r="AM719">
        <f>VLOOKUP(D719,[1]Sheet1!$C$1:$D$191,2,FALSE)</f>
        <v>92</v>
      </c>
    </row>
    <row r="720" spans="1:39" x14ac:dyDescent="0.35">
      <c r="A720">
        <v>2017</v>
      </c>
      <c r="B720" t="s">
        <v>95</v>
      </c>
      <c r="C720">
        <v>92</v>
      </c>
      <c r="D720" t="s">
        <v>292</v>
      </c>
      <c r="E720">
        <v>52913846</v>
      </c>
      <c r="F720">
        <v>137907868</v>
      </c>
      <c r="G720">
        <v>190821714</v>
      </c>
      <c r="H720">
        <v>333450075464.15002</v>
      </c>
      <c r="I720">
        <v>343257164581.71198</v>
      </c>
      <c r="J720">
        <v>4.5129263177093142E-2</v>
      </c>
      <c r="K720">
        <v>59414.654945910297</v>
      </c>
      <c r="L720">
        <v>4.4203736042448726E-2</v>
      </c>
      <c r="M720">
        <v>56899.485124514998</v>
      </c>
      <c r="N720">
        <v>0.57626031016634904</v>
      </c>
      <c r="O720">
        <v>317.031896211998</v>
      </c>
      <c r="P720">
        <v>120.98227810074199</v>
      </c>
      <c r="Q720">
        <v>14.305321970480099</v>
      </c>
      <c r="R720">
        <v>5612253</v>
      </c>
      <c r="S720">
        <v>8.8634727371527354E-4</v>
      </c>
      <c r="U720">
        <v>6.32</v>
      </c>
      <c r="V720">
        <v>63.103085</v>
      </c>
      <c r="W720">
        <v>1.453932</v>
      </c>
      <c r="X720">
        <v>82.463920000000002</v>
      </c>
      <c r="Y720">
        <v>84.452299999999994</v>
      </c>
      <c r="Z720">
        <v>84.7929138455372</v>
      </c>
      <c r="AA720">
        <v>2016</v>
      </c>
      <c r="AB720">
        <v>2020</v>
      </c>
      <c r="AC720">
        <v>1</v>
      </c>
      <c r="AD720">
        <v>0</v>
      </c>
      <c r="AE720">
        <v>4</v>
      </c>
      <c r="AF720">
        <v>0</v>
      </c>
      <c r="AG720">
        <v>1</v>
      </c>
      <c r="AI720">
        <v>1</v>
      </c>
      <c r="AJ720">
        <v>1.785754323005676</v>
      </c>
      <c r="AK720">
        <v>2.1091547012329102</v>
      </c>
      <c r="AL720">
        <v>3.6266600000000003E-2</v>
      </c>
      <c r="AM720">
        <f>VLOOKUP(D720,[1]Sheet1!$C$1:$D$191,2,FALSE)</f>
        <v>92</v>
      </c>
    </row>
    <row r="721" spans="1:39" x14ac:dyDescent="0.35">
      <c r="A721">
        <v>2018</v>
      </c>
      <c r="B721" t="s">
        <v>95</v>
      </c>
      <c r="C721">
        <v>92</v>
      </c>
      <c r="D721" t="s">
        <v>292</v>
      </c>
      <c r="E721">
        <v>115778272.484345</v>
      </c>
      <c r="F721">
        <v>333874961.22043902</v>
      </c>
      <c r="G721">
        <v>499653233.70478404</v>
      </c>
      <c r="H721">
        <v>345177895368.50098</v>
      </c>
      <c r="I721">
        <v>376892697588.005</v>
      </c>
      <c r="J721">
        <v>3.5171141850924056E-2</v>
      </c>
      <c r="K721">
        <v>61216.125091865797</v>
      </c>
      <c r="L721">
        <v>3.0320299723957261E-2</v>
      </c>
      <c r="M721">
        <v>59414.654945910297</v>
      </c>
      <c r="N721">
        <v>0.43862011844684001</v>
      </c>
      <c r="O721">
        <v>326.72336042718598</v>
      </c>
      <c r="P721">
        <v>117.777530363297</v>
      </c>
      <c r="Q721">
        <v>14.6912551356356</v>
      </c>
      <c r="R721">
        <v>5638676</v>
      </c>
      <c r="S721">
        <v>4.7080913850462546E-3</v>
      </c>
      <c r="U721">
        <v>6.38</v>
      </c>
      <c r="V721">
        <v>64.593175000000002</v>
      </c>
      <c r="W721">
        <v>1.4264190000000001</v>
      </c>
      <c r="X721">
        <v>80.323769999999996</v>
      </c>
      <c r="Y721">
        <v>88.165599999999998</v>
      </c>
      <c r="Z721">
        <v>88.886445341076893</v>
      </c>
      <c r="AA721">
        <v>2016</v>
      </c>
      <c r="AB721">
        <v>2020</v>
      </c>
      <c r="AC721">
        <v>1</v>
      </c>
      <c r="AD721">
        <v>0</v>
      </c>
      <c r="AE721">
        <v>4</v>
      </c>
      <c r="AF721">
        <v>0</v>
      </c>
      <c r="AG721">
        <v>2</v>
      </c>
      <c r="AI721">
        <v>1</v>
      </c>
      <c r="AJ721">
        <v>1.802900433540344</v>
      </c>
      <c r="AK721">
        <v>2.121737957000732</v>
      </c>
      <c r="AL721">
        <v>2.6412049999999999E-2</v>
      </c>
      <c r="AM721">
        <f>VLOOKUP(D721,[1]Sheet1!$C$1:$D$191,2,FALSE)</f>
        <v>92</v>
      </c>
    </row>
    <row r="722" spans="1:39" x14ac:dyDescent="0.35">
      <c r="A722">
        <v>2019</v>
      </c>
      <c r="B722" t="s">
        <v>95</v>
      </c>
      <c r="C722">
        <v>92</v>
      </c>
      <c r="D722" t="s">
        <v>292</v>
      </c>
      <c r="E722">
        <v>115777290.57305139</v>
      </c>
      <c r="F722">
        <v>386561190.31369507</v>
      </c>
      <c r="G722">
        <v>502338480.88674647</v>
      </c>
      <c r="H722">
        <v>349820740821.55902</v>
      </c>
      <c r="I722">
        <v>376901649222.45099</v>
      </c>
      <c r="J722">
        <v>1.3450587408273899E-2</v>
      </c>
      <c r="K722">
        <v>61333.656316169603</v>
      </c>
      <c r="L722">
        <v>1.9199389724101185E-3</v>
      </c>
      <c r="M722">
        <v>61216.125091865797</v>
      </c>
      <c r="N722">
        <v>0.56526056878032604</v>
      </c>
      <c r="O722">
        <v>323.07042995339498</v>
      </c>
      <c r="P722">
        <v>119.233092691792</v>
      </c>
      <c r="Q722">
        <v>14.142850173826499</v>
      </c>
      <c r="R722">
        <v>5703569</v>
      </c>
      <c r="S722">
        <v>1.1508552716985336E-2</v>
      </c>
      <c r="U722">
        <v>6.02</v>
      </c>
      <c r="V722">
        <v>58.777261000000003</v>
      </c>
      <c r="W722">
        <v>1.5160990000000001</v>
      </c>
      <c r="X722">
        <v>79.199719999999999</v>
      </c>
      <c r="Y722">
        <v>88.949299999999994</v>
      </c>
      <c r="Z722">
        <v>91.088990441477605</v>
      </c>
      <c r="AA722">
        <v>2016</v>
      </c>
      <c r="AB722">
        <v>2020</v>
      </c>
      <c r="AC722">
        <v>1</v>
      </c>
      <c r="AD722">
        <v>0</v>
      </c>
      <c r="AE722">
        <v>4</v>
      </c>
      <c r="AF722">
        <v>0</v>
      </c>
      <c r="AG722">
        <v>3</v>
      </c>
      <c r="AI722">
        <v>1</v>
      </c>
      <c r="AJ722">
        <v>1.838053703308105</v>
      </c>
      <c r="AK722">
        <v>2.1544375419616699</v>
      </c>
      <c r="AL722">
        <v>1.5717274999999999E-2</v>
      </c>
      <c r="AM722">
        <f>VLOOKUP(D722,[1]Sheet1!$C$1:$D$191,2,FALSE)</f>
        <v>92</v>
      </c>
    </row>
    <row r="723" spans="1:39" x14ac:dyDescent="0.35">
      <c r="A723">
        <v>2020</v>
      </c>
      <c r="B723" t="s">
        <v>95</v>
      </c>
      <c r="C723">
        <v>92</v>
      </c>
      <c r="D723" t="s">
        <v>292</v>
      </c>
      <c r="E723">
        <v>290382730.96647072</v>
      </c>
      <c r="F723">
        <v>678179935.14925289</v>
      </c>
      <c r="G723">
        <v>968562666.11572373</v>
      </c>
      <c r="H723">
        <v>336283381521.284</v>
      </c>
      <c r="I723">
        <v>349488382610.66199</v>
      </c>
      <c r="J723">
        <v>-3.8697989343005626E-2</v>
      </c>
      <c r="K723">
        <v>59144.353918675799</v>
      </c>
      <c r="L723">
        <v>-3.5694959814692E-2</v>
      </c>
      <c r="M723">
        <v>61333.656316169603</v>
      </c>
      <c r="N723">
        <v>-0.181916666666634</v>
      </c>
      <c r="O723">
        <v>331.690521725461</v>
      </c>
      <c r="P723">
        <v>129.07160831167201</v>
      </c>
      <c r="Q723">
        <v>25.721872359959999</v>
      </c>
      <c r="R723">
        <v>5685807</v>
      </c>
      <c r="S723">
        <v>-3.1141904305882861E-3</v>
      </c>
      <c r="U723">
        <v>6.03</v>
      </c>
      <c r="V723">
        <v>54.00705</v>
      </c>
      <c r="W723">
        <v>1.316751</v>
      </c>
      <c r="X723">
        <v>81.030010000000004</v>
      </c>
      <c r="Y723">
        <v>92.004300000000001</v>
      </c>
      <c r="Z723">
        <v>93.134767179468</v>
      </c>
      <c r="AA723">
        <v>2016</v>
      </c>
      <c r="AB723">
        <v>2020</v>
      </c>
      <c r="AC723">
        <v>1</v>
      </c>
      <c r="AD723">
        <v>1</v>
      </c>
      <c r="AE723">
        <v>4</v>
      </c>
      <c r="AF723">
        <v>0</v>
      </c>
      <c r="AG723">
        <v>4</v>
      </c>
      <c r="AH723">
        <v>0</v>
      </c>
      <c r="AI723">
        <v>1</v>
      </c>
      <c r="AJ723">
        <v>1.8354349136352539</v>
      </c>
      <c r="AK723">
        <v>2.2052991390228271</v>
      </c>
      <c r="AL723">
        <v>3.3847574999999998E-2</v>
      </c>
      <c r="AM723">
        <f>VLOOKUP(D723,[1]Sheet1!$C$1:$D$191,2,FALSE)</f>
        <v>92</v>
      </c>
    </row>
    <row r="724" spans="1:39" x14ac:dyDescent="0.35">
      <c r="A724">
        <v>2013</v>
      </c>
      <c r="B724" t="s">
        <v>96</v>
      </c>
      <c r="C724">
        <v>93</v>
      </c>
      <c r="D724" t="s">
        <v>354</v>
      </c>
      <c r="E724">
        <v>753</v>
      </c>
      <c r="F724">
        <v>82850</v>
      </c>
      <c r="G724">
        <v>83603</v>
      </c>
      <c r="H724">
        <v>5110628952.8310003</v>
      </c>
      <c r="I724">
        <v>5062881613.1283302</v>
      </c>
      <c r="J724">
        <v>0.10959291448466822</v>
      </c>
      <c r="K724">
        <v>397.10879401720098</v>
      </c>
      <c r="L724">
        <v>7.4378480180476089E-2</v>
      </c>
      <c r="M724">
        <v>369.61722646426603</v>
      </c>
      <c r="O724">
        <v>83.340999125837797</v>
      </c>
      <c r="R724">
        <v>12869594</v>
      </c>
      <c r="S724">
        <v>3.27765633376026E-2</v>
      </c>
      <c r="V724">
        <v>0</v>
      </c>
      <c r="W724">
        <v>0</v>
      </c>
      <c r="X724">
        <v>0</v>
      </c>
      <c r="Y724">
        <v>1.5</v>
      </c>
      <c r="AJ724">
        <v>-2.4066212177276611</v>
      </c>
      <c r="AK724">
        <v>-2.2077925205230708</v>
      </c>
      <c r="AM724">
        <f>VLOOKUP(D724,[1]Sheet1!$C$1:$D$191,2,FALSE)</f>
        <v>93</v>
      </c>
    </row>
    <row r="725" spans="1:39" x14ac:dyDescent="0.35">
      <c r="A725">
        <v>2014</v>
      </c>
      <c r="B725" t="s">
        <v>96</v>
      </c>
      <c r="C725">
        <v>93</v>
      </c>
      <c r="D725" t="s">
        <v>354</v>
      </c>
      <c r="E725">
        <v>6154.9438048290003</v>
      </c>
      <c r="F725">
        <v>62525</v>
      </c>
      <c r="G725">
        <v>68679.943804829003</v>
      </c>
      <c r="H725">
        <v>5569461522.0391502</v>
      </c>
      <c r="I725">
        <v>5728399710.5633297</v>
      </c>
      <c r="J725">
        <v>8.9780059057893949E-2</v>
      </c>
      <c r="K725">
        <v>417.51679445933502</v>
      </c>
      <c r="L725">
        <v>5.1391459342121887E-2</v>
      </c>
      <c r="M725">
        <v>397.10879401720098</v>
      </c>
      <c r="O725">
        <v>81.701041455935794</v>
      </c>
      <c r="R725">
        <v>13339491</v>
      </c>
      <c r="S725">
        <v>3.6512185232883028E-2</v>
      </c>
      <c r="V725">
        <v>0</v>
      </c>
      <c r="W725">
        <v>0</v>
      </c>
      <c r="X725">
        <v>0</v>
      </c>
      <c r="Y725">
        <v>1.63</v>
      </c>
      <c r="AJ725">
        <v>-2.3556702136993408</v>
      </c>
      <c r="AK725">
        <v>-2.0722336769103999</v>
      </c>
      <c r="AM725">
        <f>VLOOKUP(D725,[1]Sheet1!$C$1:$D$191,2,FALSE)</f>
        <v>93</v>
      </c>
    </row>
    <row r="726" spans="1:39" x14ac:dyDescent="0.35">
      <c r="A726">
        <v>2015</v>
      </c>
      <c r="B726" t="s">
        <v>96</v>
      </c>
      <c r="C726">
        <v>93</v>
      </c>
      <c r="D726" t="s">
        <v>354</v>
      </c>
      <c r="E726">
        <v>1181</v>
      </c>
      <c r="F726">
        <v>85850</v>
      </c>
      <c r="G726">
        <v>87031</v>
      </c>
      <c r="H726">
        <v>6152149080.0016804</v>
      </c>
      <c r="I726">
        <v>6152149080.0016804</v>
      </c>
      <c r="J726">
        <v>0.10462188411873441</v>
      </c>
      <c r="K726">
        <v>445.58307862501499</v>
      </c>
      <c r="L726">
        <v>6.7221928646066839E-2</v>
      </c>
      <c r="M726">
        <v>417.51679445933502</v>
      </c>
      <c r="O726">
        <v>76.479332324610297</v>
      </c>
      <c r="R726">
        <v>13806963</v>
      </c>
      <c r="S726">
        <v>3.5044215705082003E-2</v>
      </c>
      <c r="V726">
        <v>0</v>
      </c>
      <c r="W726">
        <v>0</v>
      </c>
      <c r="X726">
        <v>0</v>
      </c>
      <c r="Y726">
        <v>1.76</v>
      </c>
      <c r="AJ726">
        <v>-2.3153963088989258</v>
      </c>
      <c r="AK726">
        <v>-2.101894855499268</v>
      </c>
      <c r="AM726">
        <f>VLOOKUP(D726,[1]Sheet1!$C$1:$D$191,2,FALSE)</f>
        <v>93</v>
      </c>
    </row>
    <row r="727" spans="1:39" x14ac:dyDescent="0.35">
      <c r="A727">
        <v>2016</v>
      </c>
      <c r="B727" t="s">
        <v>96</v>
      </c>
      <c r="C727">
        <v>93</v>
      </c>
      <c r="D727" t="s">
        <v>354</v>
      </c>
      <c r="E727">
        <v>1817.39859379069</v>
      </c>
      <c r="F727">
        <v>63200</v>
      </c>
      <c r="G727">
        <v>65017.398593790691</v>
      </c>
      <c r="H727">
        <v>6584944952.9318104</v>
      </c>
      <c r="I727">
        <v>6613743089.99932</v>
      </c>
      <c r="J727">
        <v>7.0348729736895738E-2</v>
      </c>
      <c r="K727">
        <v>458.92147693329201</v>
      </c>
      <c r="L727">
        <v>2.9934705665746537E-2</v>
      </c>
      <c r="M727">
        <v>445.58307862501499</v>
      </c>
      <c r="O727">
        <v>74.361562477922902</v>
      </c>
      <c r="R727">
        <v>14348740</v>
      </c>
      <c r="S727">
        <v>3.9239404060110832E-2</v>
      </c>
      <c r="V727">
        <v>0</v>
      </c>
      <c r="W727">
        <v>0</v>
      </c>
      <c r="X727">
        <v>0</v>
      </c>
      <c r="Y727">
        <v>1.88</v>
      </c>
      <c r="AJ727">
        <v>-2.3162491321563721</v>
      </c>
      <c r="AK727">
        <v>-2.1845889091491699</v>
      </c>
      <c r="AM727">
        <f>VLOOKUP(D727,[1]Sheet1!$C$1:$D$191,2,FALSE)</f>
        <v>93</v>
      </c>
    </row>
    <row r="728" spans="1:39" x14ac:dyDescent="0.35">
      <c r="A728">
        <v>2017</v>
      </c>
      <c r="B728" t="s">
        <v>96</v>
      </c>
      <c r="C728">
        <v>93</v>
      </c>
      <c r="D728" t="s">
        <v>354</v>
      </c>
      <c r="E728">
        <v>42042</v>
      </c>
      <c r="F728">
        <v>14300</v>
      </c>
      <c r="G728">
        <v>56342</v>
      </c>
      <c r="H728">
        <v>7555288951.8563499</v>
      </c>
      <c r="I728">
        <v>7621501720.0002098</v>
      </c>
      <c r="J728">
        <v>0.14735795148788813</v>
      </c>
      <c r="K728">
        <v>506.50109698755301</v>
      </c>
      <c r="L728">
        <v>0.10367703941904878</v>
      </c>
      <c r="M728">
        <v>458.92147693329201</v>
      </c>
      <c r="O728">
        <v>68.675649134374098</v>
      </c>
      <c r="Q728">
        <v>1.3588452199422E-4</v>
      </c>
      <c r="R728">
        <v>14916629</v>
      </c>
      <c r="S728">
        <v>3.9577621449688266E-2</v>
      </c>
      <c r="V728">
        <v>0</v>
      </c>
      <c r="W728">
        <v>0</v>
      </c>
      <c r="X728">
        <v>0</v>
      </c>
      <c r="Y728">
        <v>2.0040499999999999</v>
      </c>
      <c r="AJ728">
        <v>-2.3316769599914551</v>
      </c>
      <c r="AK728">
        <v>-2.2841048240661621</v>
      </c>
      <c r="AM728">
        <f>VLOOKUP(D728,[1]Sheet1!$C$1:$D$191,2,FALSE)</f>
        <v>93</v>
      </c>
    </row>
    <row r="729" spans="1:39" x14ac:dyDescent="0.35">
      <c r="A729">
        <v>2018</v>
      </c>
      <c r="B729" t="s">
        <v>96</v>
      </c>
      <c r="C729">
        <v>93</v>
      </c>
      <c r="D729" t="s">
        <v>354</v>
      </c>
      <c r="E729">
        <v>694.43</v>
      </c>
      <c r="G729">
        <v>694.43</v>
      </c>
      <c r="H729">
        <v>7710498375.1822996</v>
      </c>
      <c r="I729">
        <v>7873440838.3655901</v>
      </c>
      <c r="J729">
        <v>2.0543148556590202E-2</v>
      </c>
      <c r="K729">
        <v>498.98106208937702</v>
      </c>
      <c r="L729">
        <v>-1.4847025885830992E-2</v>
      </c>
      <c r="M729">
        <v>506.50109698755301</v>
      </c>
      <c r="O729">
        <v>73.820837998227205</v>
      </c>
      <c r="Q729">
        <v>1.37141630008365E-4</v>
      </c>
      <c r="R729">
        <v>15452487</v>
      </c>
      <c r="S729">
        <v>3.592353205271781E-2</v>
      </c>
      <c r="V729">
        <v>0</v>
      </c>
      <c r="W729">
        <v>0</v>
      </c>
      <c r="X729">
        <v>0</v>
      </c>
      <c r="AJ729">
        <v>-2.2986552715301509</v>
      </c>
      <c r="AK729">
        <v>-2.0889406204223628</v>
      </c>
      <c r="AM729">
        <f>VLOOKUP(D729,[1]Sheet1!$C$1:$D$191,2,FALSE)</f>
        <v>93</v>
      </c>
    </row>
    <row r="730" spans="1:39" x14ac:dyDescent="0.35">
      <c r="A730">
        <v>2020</v>
      </c>
      <c r="B730" t="s">
        <v>96</v>
      </c>
      <c r="C730">
        <v>93</v>
      </c>
      <c r="D730" t="s">
        <v>354</v>
      </c>
      <c r="E730">
        <v>698.43</v>
      </c>
      <c r="G730">
        <v>698.43</v>
      </c>
      <c r="H730">
        <v>7710042965.1026497</v>
      </c>
      <c r="I730">
        <v>8628393719.9992199</v>
      </c>
      <c r="J730">
        <v>-2.7524810392782356E-2</v>
      </c>
      <c r="K730">
        <v>463.03252212425201</v>
      </c>
      <c r="L730">
        <v>-6.3747358203217613E-2</v>
      </c>
      <c r="M730">
        <v>494.559375806552</v>
      </c>
      <c r="O730">
        <v>75.6877839830493</v>
      </c>
      <c r="Q730">
        <v>2.1271411814340001E-4</v>
      </c>
      <c r="R730">
        <v>16651191</v>
      </c>
      <c r="S730">
        <v>3.868886045642525E-2</v>
      </c>
      <c r="V730">
        <v>0</v>
      </c>
      <c r="W730">
        <v>0</v>
      </c>
      <c r="X730">
        <v>0</v>
      </c>
      <c r="Y730">
        <v>15.0237</v>
      </c>
      <c r="AJ730">
        <v>-2.3125448226928711</v>
      </c>
      <c r="AK730">
        <v>-1.9536125659942629</v>
      </c>
      <c r="AM730">
        <f>VLOOKUP(D730,[1]Sheet1!$C$1:$D$191,2,FALSE)</f>
        <v>93</v>
      </c>
    </row>
    <row r="731" spans="1:39" x14ac:dyDescent="0.35">
      <c r="A731">
        <v>2013</v>
      </c>
      <c r="B731" t="s">
        <v>97</v>
      </c>
      <c r="C731">
        <v>94</v>
      </c>
      <c r="D731" t="s">
        <v>293</v>
      </c>
      <c r="E731">
        <v>2325810.6436288771</v>
      </c>
      <c r="F731">
        <v>156200</v>
      </c>
      <c r="G731">
        <v>2482010.6436288771</v>
      </c>
      <c r="H731">
        <v>337416077838.151</v>
      </c>
      <c r="I731">
        <v>400886013595.573</v>
      </c>
      <c r="J731">
        <v>2.4854680082657517E-2</v>
      </c>
      <c r="K731">
        <v>6170.8767086337302</v>
      </c>
      <c r="L731">
        <v>8.0565880984670782E-3</v>
      </c>
      <c r="M731">
        <v>6121.5578386071302</v>
      </c>
      <c r="N731">
        <v>5.7844690966720096</v>
      </c>
      <c r="O731">
        <v>58.875027630051001</v>
      </c>
      <c r="P731">
        <v>127.029272479724</v>
      </c>
      <c r="Q731">
        <v>31.259190573784998</v>
      </c>
      <c r="R731">
        <v>54678791</v>
      </c>
      <c r="S731">
        <v>1.6663838302846349E-2</v>
      </c>
      <c r="T731">
        <v>44.831000000000003</v>
      </c>
      <c r="U731">
        <v>7.9</v>
      </c>
      <c r="V731">
        <v>321.81347</v>
      </c>
      <c r="W731">
        <v>3.0731709999999999</v>
      </c>
      <c r="X731">
        <v>76.693299999999994</v>
      </c>
      <c r="Y731">
        <v>46.5</v>
      </c>
      <c r="Z731">
        <v>18.608822530534201</v>
      </c>
      <c r="AF731">
        <v>0</v>
      </c>
      <c r="AJ731">
        <v>0.13530078530311579</v>
      </c>
      <c r="AK731">
        <v>0.38048246502876282</v>
      </c>
      <c r="AL731">
        <v>0.17926805000000001</v>
      </c>
      <c r="AM731">
        <f>VLOOKUP(D731,[1]Sheet1!$C$1:$D$191,2,FALSE)</f>
        <v>94</v>
      </c>
    </row>
    <row r="732" spans="1:39" x14ac:dyDescent="0.35">
      <c r="A732">
        <v>2014</v>
      </c>
      <c r="B732" t="s">
        <v>97</v>
      </c>
      <c r="C732">
        <v>94</v>
      </c>
      <c r="D732" t="s">
        <v>293</v>
      </c>
      <c r="E732">
        <v>1518736.3935177219</v>
      </c>
      <c r="F732">
        <v>138750</v>
      </c>
      <c r="G732">
        <v>1657486.3935177219</v>
      </c>
      <c r="H732">
        <v>342186555600.73102</v>
      </c>
      <c r="I732">
        <v>381198869776.10602</v>
      </c>
      <c r="J732">
        <v>1.4138264522380825E-2</v>
      </c>
      <c r="K732">
        <v>6155.0058946251602</v>
      </c>
      <c r="L732">
        <v>-2.5718896613774584E-3</v>
      </c>
      <c r="M732">
        <v>6170.8767086337302</v>
      </c>
      <c r="N732">
        <v>6.1298377028714102</v>
      </c>
      <c r="O732">
        <v>59.499574055059298</v>
      </c>
      <c r="P732">
        <v>128.83837477965301</v>
      </c>
      <c r="Q732">
        <v>31.9053501556958</v>
      </c>
      <c r="R732">
        <v>55594838</v>
      </c>
      <c r="S732">
        <v>1.6753241672808748E-2</v>
      </c>
      <c r="T732">
        <v>45.249000000000002</v>
      </c>
      <c r="U732">
        <v>7.82</v>
      </c>
      <c r="V732">
        <v>357.59471000000002</v>
      </c>
      <c r="W732">
        <v>3.3251919999999999</v>
      </c>
      <c r="X732">
        <v>77.386920000000003</v>
      </c>
      <c r="Y732">
        <v>49</v>
      </c>
      <c r="Z732">
        <v>18.481335637006701</v>
      </c>
      <c r="AF732">
        <v>0</v>
      </c>
      <c r="AJ732">
        <v>0.15519927442073819</v>
      </c>
      <c r="AK732">
        <v>0.23083372414112091</v>
      </c>
      <c r="AL732">
        <v>0.17174990000000001</v>
      </c>
      <c r="AM732">
        <f>VLOOKUP(D732,[1]Sheet1!$C$1:$D$191,2,FALSE)</f>
        <v>94</v>
      </c>
    </row>
    <row r="733" spans="1:39" x14ac:dyDescent="0.35">
      <c r="A733">
        <v>2015</v>
      </c>
      <c r="B733" t="s">
        <v>97</v>
      </c>
      <c r="C733">
        <v>94</v>
      </c>
      <c r="D733" t="s">
        <v>293</v>
      </c>
      <c r="E733">
        <v>4771447.4289467791</v>
      </c>
      <c r="F733">
        <v>10289350</v>
      </c>
      <c r="G733">
        <v>15060797.428946778</v>
      </c>
      <c r="H733">
        <v>346709790458.56299</v>
      </c>
      <c r="I733">
        <v>346709790458.56299</v>
      </c>
      <c r="J733">
        <v>1.3218622367822529E-2</v>
      </c>
      <c r="K733">
        <v>6112.2738248597398</v>
      </c>
      <c r="L733">
        <v>-6.942652939249996E-3</v>
      </c>
      <c r="M733">
        <v>6155.0058946251602</v>
      </c>
      <c r="N733">
        <v>4.5406422773790602</v>
      </c>
      <c r="O733">
        <v>56.726676144715597</v>
      </c>
      <c r="P733">
        <v>127.203244242731</v>
      </c>
      <c r="Q733">
        <v>33.679778745490701</v>
      </c>
      <c r="R733">
        <v>56723537</v>
      </c>
      <c r="S733">
        <v>2.0302226620392348E-2</v>
      </c>
      <c r="T733">
        <v>46.783999999999999</v>
      </c>
      <c r="U733">
        <v>7.56</v>
      </c>
      <c r="V733">
        <v>369.61430999999999</v>
      </c>
      <c r="W733">
        <v>2.888509</v>
      </c>
      <c r="X733">
        <v>78.649889999999999</v>
      </c>
      <c r="Y733">
        <v>51.9191</v>
      </c>
      <c r="Z733">
        <v>19.033294953766099</v>
      </c>
      <c r="AF733">
        <v>0</v>
      </c>
      <c r="AJ733">
        <v>1.577803865075111E-2</v>
      </c>
      <c r="AK733">
        <v>0.20859390497207639</v>
      </c>
      <c r="AL733">
        <v>0.23251585</v>
      </c>
      <c r="AM733">
        <f>VLOOKUP(D733,[1]Sheet1!$C$1:$D$191,2,FALSE)</f>
        <v>94</v>
      </c>
    </row>
    <row r="734" spans="1:39" x14ac:dyDescent="0.35">
      <c r="A734">
        <v>2016</v>
      </c>
      <c r="B734" t="s">
        <v>97</v>
      </c>
      <c r="C734">
        <v>94</v>
      </c>
      <c r="D734" t="s">
        <v>293</v>
      </c>
      <c r="E734">
        <v>21323100.763771661</v>
      </c>
      <c r="F734">
        <v>12175525</v>
      </c>
      <c r="G734">
        <v>33498625.763771661</v>
      </c>
      <c r="H734">
        <v>349013858372.625</v>
      </c>
      <c r="I734">
        <v>323585509674.48102</v>
      </c>
      <c r="J734">
        <v>6.6455230785799867E-3</v>
      </c>
      <c r="K734">
        <v>6095.2950604280004</v>
      </c>
      <c r="L734">
        <v>-2.7778147573630637E-3</v>
      </c>
      <c r="M734">
        <v>6112.2738248597398</v>
      </c>
      <c r="N734">
        <v>6.5713964217396397</v>
      </c>
      <c r="O734">
        <v>55.861257504878203</v>
      </c>
      <c r="P734">
        <v>124.36049611176399</v>
      </c>
      <c r="Q734">
        <v>32.189660800211101</v>
      </c>
      <c r="R734">
        <v>57259551</v>
      </c>
      <c r="S734">
        <v>9.4495870382694924E-3</v>
      </c>
      <c r="T734">
        <v>47.216000000000001</v>
      </c>
      <c r="U734">
        <v>7.41</v>
      </c>
      <c r="V734">
        <v>364.52911999999998</v>
      </c>
      <c r="W734">
        <v>3.4623119999999998</v>
      </c>
      <c r="X734">
        <v>75.989810000000006</v>
      </c>
      <c r="Y734">
        <v>54</v>
      </c>
      <c r="Z734">
        <v>18.9292980324153</v>
      </c>
      <c r="AF734">
        <v>0</v>
      </c>
      <c r="AJ734">
        <v>4.3559864163398743E-2</v>
      </c>
      <c r="AK734">
        <v>0.1197831556200981</v>
      </c>
      <c r="AL734">
        <v>0.4090625</v>
      </c>
      <c r="AM734">
        <f>VLOOKUP(D734,[1]Sheet1!$C$1:$D$191,2,FALSE)</f>
        <v>94</v>
      </c>
    </row>
    <row r="735" spans="1:39" x14ac:dyDescent="0.35">
      <c r="A735">
        <v>2017</v>
      </c>
      <c r="B735" t="s">
        <v>97</v>
      </c>
      <c r="C735">
        <v>94</v>
      </c>
      <c r="D735" t="s">
        <v>293</v>
      </c>
      <c r="E735">
        <v>5991668.4474904798</v>
      </c>
      <c r="F735">
        <v>9460625</v>
      </c>
      <c r="G735">
        <v>15452293.44749048</v>
      </c>
      <c r="H735">
        <v>353055253707.07098</v>
      </c>
      <c r="I735">
        <v>381448814653.45599</v>
      </c>
      <c r="J735">
        <v>1.1579469518173643E-2</v>
      </c>
      <c r="K735">
        <v>6125.6920507496998</v>
      </c>
      <c r="L735">
        <v>4.98695961726994E-3</v>
      </c>
      <c r="M735">
        <v>6095.2950604280004</v>
      </c>
      <c r="N735">
        <v>5.1842466476612801</v>
      </c>
      <c r="O735">
        <v>53.5359318293741</v>
      </c>
      <c r="P735">
        <v>127.030283858454</v>
      </c>
      <c r="Q735">
        <v>33.251812476877298</v>
      </c>
      <c r="R735">
        <v>57635162</v>
      </c>
      <c r="S735">
        <v>6.5597964608559364E-3</v>
      </c>
      <c r="T735">
        <v>47.546999999999997</v>
      </c>
      <c r="U735">
        <v>7.24</v>
      </c>
      <c r="V735">
        <v>352.21366</v>
      </c>
      <c r="W735">
        <v>3.6624910000000002</v>
      </c>
      <c r="X735">
        <v>76.756100000000004</v>
      </c>
      <c r="Y735">
        <v>56.167400000000001</v>
      </c>
      <c r="Z735">
        <v>21.090290960321202</v>
      </c>
      <c r="AF735">
        <v>0</v>
      </c>
      <c r="AJ735">
        <v>-0.1562478840351105</v>
      </c>
      <c r="AK735">
        <v>0.1388775706291199</v>
      </c>
      <c r="AL735">
        <v>0.4179562</v>
      </c>
      <c r="AM735">
        <f>VLOOKUP(D735,[1]Sheet1!$C$1:$D$191,2,FALSE)</f>
        <v>94</v>
      </c>
    </row>
    <row r="736" spans="1:39" x14ac:dyDescent="0.35">
      <c r="A736">
        <v>2018</v>
      </c>
      <c r="B736" t="s">
        <v>97</v>
      </c>
      <c r="C736">
        <v>94</v>
      </c>
      <c r="D736" t="s">
        <v>293</v>
      </c>
      <c r="E736">
        <v>10032242.819516551</v>
      </c>
      <c r="F736">
        <v>17448803.126650002</v>
      </c>
      <c r="G736">
        <v>27481045.946166553</v>
      </c>
      <c r="H736">
        <v>358551560868.53302</v>
      </c>
      <c r="I736">
        <v>405260723892.51703</v>
      </c>
      <c r="J736">
        <v>1.5567838472168177E-2</v>
      </c>
      <c r="K736">
        <v>6117.2701406046999</v>
      </c>
      <c r="L736">
        <v>-1.3748503965309734E-3</v>
      </c>
      <c r="M736">
        <v>6125.6920507496998</v>
      </c>
      <c r="N736">
        <v>4.5171652278659202</v>
      </c>
      <c r="O736">
        <v>54.485545127634097</v>
      </c>
      <c r="P736">
        <v>118.380857963487</v>
      </c>
      <c r="Q736">
        <v>33.995497825497203</v>
      </c>
      <c r="R736">
        <v>58613001</v>
      </c>
      <c r="S736">
        <v>1.6966014600600932E-2</v>
      </c>
      <c r="T736">
        <v>47.442</v>
      </c>
      <c r="U736">
        <v>7.24</v>
      </c>
      <c r="V736">
        <v>342.15915999999999</v>
      </c>
      <c r="W736">
        <v>3.185765</v>
      </c>
      <c r="X736">
        <v>77.761499999999998</v>
      </c>
      <c r="Y736">
        <v>62.4</v>
      </c>
      <c r="Z736">
        <v>22.351542518423098</v>
      </c>
      <c r="AF736">
        <v>0</v>
      </c>
      <c r="AJ736">
        <v>-0.2218280881643295</v>
      </c>
      <c r="AK736">
        <v>-4.0778167545795441E-2</v>
      </c>
      <c r="AL736">
        <v>0.26617642499999999</v>
      </c>
      <c r="AM736">
        <f>VLOOKUP(D736,[1]Sheet1!$C$1:$D$191,2,FALSE)</f>
        <v>94</v>
      </c>
    </row>
    <row r="737" spans="1:39" x14ac:dyDescent="0.35">
      <c r="A737">
        <v>2019</v>
      </c>
      <c r="B737" t="s">
        <v>97</v>
      </c>
      <c r="C737">
        <v>94</v>
      </c>
      <c r="D737" t="s">
        <v>293</v>
      </c>
      <c r="E737">
        <v>19132000.259981468</v>
      </c>
      <c r="F737">
        <v>4841391.3312261607</v>
      </c>
      <c r="G737">
        <v>23973391.591207631</v>
      </c>
      <c r="H737">
        <v>359483563936.67603</v>
      </c>
      <c r="I737">
        <v>389330032224.26898</v>
      </c>
      <c r="J737">
        <v>2.5993557687641329E-3</v>
      </c>
      <c r="K737">
        <v>6032.8297259866804</v>
      </c>
      <c r="L737">
        <v>-1.3803610544763761E-2</v>
      </c>
      <c r="M737">
        <v>6117.2701406046999</v>
      </c>
      <c r="N737">
        <v>4.1202458701498399</v>
      </c>
      <c r="O737">
        <v>53.8979964081406</v>
      </c>
      <c r="P737">
        <v>117.185556861489</v>
      </c>
      <c r="Q737">
        <v>34.653275461787203</v>
      </c>
      <c r="R737">
        <v>59587885</v>
      </c>
      <c r="S737">
        <v>1.6632555633860138E-2</v>
      </c>
      <c r="T737">
        <v>47.384999999999998</v>
      </c>
      <c r="U737">
        <v>7.24</v>
      </c>
      <c r="V737">
        <v>328.06948</v>
      </c>
      <c r="W737">
        <v>3.3136909999999999</v>
      </c>
      <c r="X737">
        <v>77.284689999999998</v>
      </c>
      <c r="Y737">
        <v>69.696899999999999</v>
      </c>
      <c r="Z737">
        <v>22.244246510402299</v>
      </c>
      <c r="AF737">
        <v>0</v>
      </c>
      <c r="AJ737">
        <v>-0.18833673000335691</v>
      </c>
      <c r="AK737">
        <v>8.5053909569978714E-3</v>
      </c>
      <c r="AL737">
        <v>0.30768105000000001</v>
      </c>
      <c r="AM737">
        <f>VLOOKUP(D737,[1]Sheet1!$C$1:$D$191,2,FALSE)</f>
        <v>94</v>
      </c>
    </row>
    <row r="738" spans="1:39" x14ac:dyDescent="0.35">
      <c r="A738">
        <v>2020</v>
      </c>
      <c r="B738" t="s">
        <v>97</v>
      </c>
      <c r="C738">
        <v>94</v>
      </c>
      <c r="D738" t="s">
        <v>293</v>
      </c>
      <c r="E738">
        <v>20812053.777810652</v>
      </c>
      <c r="F738">
        <v>4023501.5189527599</v>
      </c>
      <c r="G738">
        <v>24835555.296763413</v>
      </c>
      <c r="H738">
        <v>337307318679.63898</v>
      </c>
      <c r="I738">
        <v>337974655408.05499</v>
      </c>
      <c r="J738">
        <v>-6.1689177146756709E-2</v>
      </c>
      <c r="K738">
        <v>5569.58483319272</v>
      </c>
      <c r="L738">
        <v>-7.6787330959883146E-2</v>
      </c>
      <c r="M738">
        <v>6032.8297259866804</v>
      </c>
      <c r="N738">
        <v>3.21003597454107</v>
      </c>
      <c r="O738">
        <v>50.759659080417698</v>
      </c>
      <c r="P738">
        <v>109.054691372725</v>
      </c>
      <c r="Q738">
        <v>37.835416201174503</v>
      </c>
      <c r="R738">
        <v>60562381</v>
      </c>
      <c r="S738">
        <v>1.6353928319489775E-2</v>
      </c>
      <c r="T738">
        <v>42.834000000000003</v>
      </c>
      <c r="U738">
        <v>7.05</v>
      </c>
      <c r="V738">
        <v>289.06891000000002</v>
      </c>
      <c r="W738">
        <v>2.874784</v>
      </c>
      <c r="X738">
        <v>77.361080000000001</v>
      </c>
      <c r="Y738">
        <v>72.112799999999993</v>
      </c>
      <c r="Z738">
        <v>22.614874257200899</v>
      </c>
      <c r="AF738">
        <v>0</v>
      </c>
      <c r="AI738">
        <v>1</v>
      </c>
      <c r="AJ738">
        <v>-0.24399398267269129</v>
      </c>
      <c r="AK738">
        <v>2.049482241272926E-2</v>
      </c>
      <c r="AL738">
        <v>0.189518875</v>
      </c>
      <c r="AM738">
        <f>VLOOKUP(D738,[1]Sheet1!$C$1:$D$191,2,FALSE)</f>
        <v>94</v>
      </c>
    </row>
    <row r="739" spans="1:39" x14ac:dyDescent="0.35">
      <c r="A739">
        <v>2013</v>
      </c>
      <c r="B739" t="s">
        <v>98</v>
      </c>
      <c r="C739">
        <v>95</v>
      </c>
      <c r="D739" t="s">
        <v>294</v>
      </c>
      <c r="F739">
        <v>218575</v>
      </c>
      <c r="G739">
        <v>218575</v>
      </c>
      <c r="H739">
        <v>13010519613.876301</v>
      </c>
      <c r="I739">
        <v>18426469016.9492</v>
      </c>
      <c r="J739">
        <v>0.13129731140694312</v>
      </c>
      <c r="K739">
        <v>1165.1620270749499</v>
      </c>
      <c r="L739">
        <v>8.9755123606383255E-2</v>
      </c>
      <c r="M739">
        <v>1069.1961908093799</v>
      </c>
      <c r="N739">
        <v>-5.80909784225664E-2</v>
      </c>
      <c r="O739">
        <v>50.8112465907463</v>
      </c>
      <c r="P739">
        <v>1.1338280453470599</v>
      </c>
      <c r="R739">
        <v>11166275</v>
      </c>
      <c r="S739">
        <v>3.8120662982603588E-2</v>
      </c>
      <c r="V739">
        <v>0.74597323000000004</v>
      </c>
      <c r="W739">
        <v>4.9758459999999998</v>
      </c>
      <c r="X739">
        <v>100</v>
      </c>
      <c r="Y739">
        <v>2.2000000000000002</v>
      </c>
      <c r="AJ739">
        <v>-1.535800576210022</v>
      </c>
      <c r="AK739">
        <v>-1.5174844264984131</v>
      </c>
      <c r="AM739">
        <f>VLOOKUP(D739,[1]Sheet1!$C$1:$D$191,2,FALSE)</f>
        <v>95</v>
      </c>
    </row>
    <row r="740" spans="1:39" x14ac:dyDescent="0.35">
      <c r="A740">
        <v>2014</v>
      </c>
      <c r="B740" t="s">
        <v>98</v>
      </c>
      <c r="C740">
        <v>95</v>
      </c>
      <c r="D740" t="s">
        <v>294</v>
      </c>
      <c r="F740">
        <v>23925</v>
      </c>
      <c r="G740">
        <v>23925</v>
      </c>
      <c r="H740">
        <v>13449448810.7001</v>
      </c>
      <c r="I740">
        <v>13962212847.4576</v>
      </c>
      <c r="J740">
        <v>3.3736484771573726E-2</v>
      </c>
      <c r="K740">
        <v>1197.09491969479</v>
      </c>
      <c r="L740">
        <v>2.7406396602200542E-2</v>
      </c>
      <c r="M740">
        <v>1165.1620270749499</v>
      </c>
      <c r="N740">
        <v>1.6742990629552501</v>
      </c>
      <c r="O740">
        <v>64.634517807080897</v>
      </c>
      <c r="P740">
        <v>1.8101094308835399</v>
      </c>
      <c r="R740">
        <v>11235073</v>
      </c>
      <c r="S740">
        <v>6.1612310282524833E-3</v>
      </c>
      <c r="V740">
        <v>1.1094453</v>
      </c>
      <c r="W740">
        <v>0</v>
      </c>
      <c r="X740">
        <v>0</v>
      </c>
      <c r="Y740">
        <v>2.6</v>
      </c>
      <c r="AJ740">
        <v>-1.85107946395874</v>
      </c>
      <c r="AK740">
        <v>-1.64380407333374</v>
      </c>
      <c r="AM740">
        <f>VLOOKUP(D740,[1]Sheet1!$C$1:$D$191,2,FALSE)</f>
        <v>95</v>
      </c>
    </row>
    <row r="741" spans="1:39" x14ac:dyDescent="0.35">
      <c r="A741">
        <v>2015</v>
      </c>
      <c r="B741" t="s">
        <v>98</v>
      </c>
      <c r="C741">
        <v>95</v>
      </c>
      <c r="D741" t="s">
        <v>294</v>
      </c>
      <c r="F741">
        <v>30925</v>
      </c>
      <c r="G741">
        <v>30925</v>
      </c>
      <c r="H741">
        <v>11997800760.224199</v>
      </c>
      <c r="I741">
        <v>11997800760.224199</v>
      </c>
      <c r="J741">
        <v>-0.10793364627113937</v>
      </c>
      <c r="K741">
        <v>1080.1471862476501</v>
      </c>
      <c r="L741">
        <v>-9.769294942539454E-2</v>
      </c>
      <c r="M741">
        <v>1197.09491969479</v>
      </c>
      <c r="N741">
        <v>52.766330419214199</v>
      </c>
      <c r="O741">
        <v>65.551349184500296</v>
      </c>
      <c r="P741">
        <v>2.3046060068698</v>
      </c>
      <c r="R741">
        <v>11107561</v>
      </c>
      <c r="S741">
        <v>-1.1349458966577254E-2</v>
      </c>
      <c r="V741">
        <v>1.0546698999999999</v>
      </c>
      <c r="W741">
        <v>0</v>
      </c>
      <c r="X741">
        <v>0</v>
      </c>
      <c r="Y741">
        <v>3</v>
      </c>
      <c r="AJ741">
        <v>-1.8953927755355831</v>
      </c>
      <c r="AK741">
        <v>-1.6734576225280759</v>
      </c>
      <c r="AM741">
        <f>VLOOKUP(D741,[1]Sheet1!$C$1:$D$191,2,FALSE)</f>
        <v>95</v>
      </c>
    </row>
    <row r="742" spans="1:39" x14ac:dyDescent="0.35">
      <c r="A742">
        <v>2016</v>
      </c>
      <c r="B742" t="s">
        <v>98</v>
      </c>
      <c r="C742">
        <v>95</v>
      </c>
      <c r="D742" t="s">
        <v>294</v>
      </c>
      <c r="F742">
        <v>50000</v>
      </c>
      <c r="G742">
        <v>50000</v>
      </c>
      <c r="M742">
        <v>1080.1471862476501</v>
      </c>
      <c r="N742">
        <v>379.999585624026</v>
      </c>
      <c r="P742">
        <v>4.4247487470556397</v>
      </c>
      <c r="R742">
        <v>10830102</v>
      </c>
      <c r="S742">
        <v>-2.4979291133310003E-2</v>
      </c>
      <c r="V742">
        <v>0.86356641999999995</v>
      </c>
      <c r="W742">
        <v>0</v>
      </c>
      <c r="X742">
        <v>0</v>
      </c>
      <c r="Y742">
        <v>3.5</v>
      </c>
      <c r="AJ742">
        <v>-1.977507948875427</v>
      </c>
      <c r="AK742">
        <v>-1.804660558700562</v>
      </c>
      <c r="AM742">
        <f>VLOOKUP(D742,[1]Sheet1!$C$1:$D$191,2,FALSE)</f>
        <v>95</v>
      </c>
    </row>
    <row r="743" spans="1:39" x14ac:dyDescent="0.35">
      <c r="A743">
        <v>2017</v>
      </c>
      <c r="B743" t="s">
        <v>98</v>
      </c>
      <c r="C743">
        <v>95</v>
      </c>
      <c r="D743" t="s">
        <v>294</v>
      </c>
      <c r="E743">
        <v>193382</v>
      </c>
      <c r="F743">
        <v>80000</v>
      </c>
      <c r="G743">
        <v>273382</v>
      </c>
      <c r="N743">
        <v>187.85163027944199</v>
      </c>
      <c r="P743">
        <v>1.7050712207929</v>
      </c>
      <c r="R743">
        <v>10259154</v>
      </c>
      <c r="S743">
        <v>-5.2718617054576214E-2</v>
      </c>
      <c r="V743">
        <v>0.50616508999999998</v>
      </c>
      <c r="W743">
        <v>0</v>
      </c>
      <c r="X743">
        <v>100</v>
      </c>
      <c r="Y743">
        <v>4.0999999999999996</v>
      </c>
      <c r="AJ743">
        <v>-1.9630002975463869</v>
      </c>
      <c r="AK743">
        <v>-1.933432340621948</v>
      </c>
      <c r="AM743">
        <f>VLOOKUP(D743,[1]Sheet1!$C$1:$D$191,2,FALSE)</f>
        <v>95</v>
      </c>
    </row>
    <row r="744" spans="1:39" x14ac:dyDescent="0.35">
      <c r="A744">
        <v>2018</v>
      </c>
      <c r="B744" t="s">
        <v>98</v>
      </c>
      <c r="C744">
        <v>95</v>
      </c>
      <c r="D744" t="s">
        <v>294</v>
      </c>
      <c r="E744">
        <v>18086.41</v>
      </c>
      <c r="G744">
        <v>18086.41</v>
      </c>
      <c r="N744">
        <v>83.501529492199893</v>
      </c>
      <c r="P744">
        <v>1.5268096100214701</v>
      </c>
      <c r="R744">
        <v>10122977</v>
      </c>
      <c r="S744">
        <v>-1.3273706584383078E-2</v>
      </c>
      <c r="V744">
        <v>0.48545368999999999</v>
      </c>
      <c r="W744">
        <v>4.5761029999999998</v>
      </c>
      <c r="X744">
        <v>98.939570000000003</v>
      </c>
      <c r="Y744">
        <v>4.8</v>
      </c>
      <c r="AJ744">
        <v>-1.9863877296447749</v>
      </c>
      <c r="AK744">
        <v>-2.035826683044434</v>
      </c>
      <c r="AM744">
        <f>VLOOKUP(D744,[1]Sheet1!$C$1:$D$191,2,FALSE)</f>
        <v>95</v>
      </c>
    </row>
    <row r="745" spans="1:39" x14ac:dyDescent="0.35">
      <c r="A745">
        <v>2020</v>
      </c>
      <c r="B745" t="s">
        <v>98</v>
      </c>
      <c r="C745">
        <v>95</v>
      </c>
      <c r="D745" t="s">
        <v>294</v>
      </c>
      <c r="E745">
        <v>2907.76</v>
      </c>
      <c r="G745">
        <v>2907.76</v>
      </c>
      <c r="N745">
        <v>29.675843553857099</v>
      </c>
      <c r="P745">
        <v>1.9250045544369501</v>
      </c>
      <c r="R745">
        <v>10698467</v>
      </c>
      <c r="S745">
        <v>2.6390949426788844E-2</v>
      </c>
      <c r="V745">
        <v>0.700407</v>
      </c>
      <c r="W745">
        <v>0</v>
      </c>
      <c r="X745">
        <v>0</v>
      </c>
      <c r="Y745">
        <v>9.2712299999999992</v>
      </c>
      <c r="AJ745">
        <v>-1.971926212310791</v>
      </c>
      <c r="AK745">
        <v>-2.0104367733001709</v>
      </c>
      <c r="AM745">
        <f>VLOOKUP(D745,[1]Sheet1!$C$1:$D$191,2,FALSE)</f>
        <v>95</v>
      </c>
    </row>
    <row r="746" spans="1:39" x14ac:dyDescent="0.35">
      <c r="A746">
        <v>2013</v>
      </c>
      <c r="B746" t="s">
        <v>99</v>
      </c>
      <c r="C746">
        <v>96</v>
      </c>
      <c r="D746" t="s">
        <v>355</v>
      </c>
      <c r="E746">
        <v>82957.438947851202</v>
      </c>
      <c r="G746">
        <v>82957.438947851202</v>
      </c>
      <c r="H746">
        <v>19160700666.092201</v>
      </c>
      <c r="I746">
        <v>21361254635.050999</v>
      </c>
      <c r="J746">
        <v>-0.26300087661506194</v>
      </c>
      <c r="K746">
        <v>884.32981333210398</v>
      </c>
      <c r="L746">
        <v>-0.22582777330762349</v>
      </c>
      <c r="M746">
        <v>1142.29080150598</v>
      </c>
      <c r="N746">
        <v>40.031837829072302</v>
      </c>
      <c r="O746">
        <v>44.705254783353197</v>
      </c>
      <c r="R746">
        <v>21666917</v>
      </c>
      <c r="S746">
        <v>-4.8016580840494691E-2</v>
      </c>
      <c r="U746">
        <v>1.86</v>
      </c>
      <c r="V746">
        <v>0</v>
      </c>
      <c r="W746">
        <v>1.791202</v>
      </c>
      <c r="X746">
        <v>62.712069999999997</v>
      </c>
      <c r="Y746">
        <v>26.2</v>
      </c>
      <c r="Z746">
        <v>31.4127197265625</v>
      </c>
      <c r="AJ746">
        <v>-1.406745910644531</v>
      </c>
      <c r="AK746">
        <v>-1.5456335544586179</v>
      </c>
      <c r="AM746">
        <f>VLOOKUP(D746,[1]Sheet1!$C$1:$D$191,2,FALSE)</f>
        <v>96</v>
      </c>
    </row>
    <row r="747" spans="1:39" x14ac:dyDescent="0.35">
      <c r="A747">
        <v>2015</v>
      </c>
      <c r="B747" t="s">
        <v>99</v>
      </c>
      <c r="C747">
        <v>96</v>
      </c>
      <c r="D747" t="s">
        <v>355</v>
      </c>
      <c r="E747">
        <v>1881.22232580889</v>
      </c>
      <c r="G747">
        <v>1881.22232580889</v>
      </c>
      <c r="H747">
        <v>16466863117.0009</v>
      </c>
      <c r="I747">
        <v>16466863117.0009</v>
      </c>
      <c r="J747">
        <v>-4.1797916132319993E-2</v>
      </c>
      <c r="K747">
        <v>847.73163194256495</v>
      </c>
      <c r="L747">
        <v>8.4650386574252343E-5</v>
      </c>
      <c r="M747">
        <v>847.65987720627595</v>
      </c>
      <c r="N747">
        <v>38.461142959973301</v>
      </c>
      <c r="O747">
        <v>51.086207822836897</v>
      </c>
      <c r="R747">
        <v>19424618</v>
      </c>
      <c r="S747">
        <v>-4.1879021443539124E-2</v>
      </c>
      <c r="U747">
        <v>1.43</v>
      </c>
      <c r="V747">
        <v>0</v>
      </c>
      <c r="W747">
        <v>1.0740270000000001</v>
      </c>
      <c r="X747">
        <v>75.118350000000007</v>
      </c>
      <c r="Y747">
        <v>29.979800000000001</v>
      </c>
      <c r="Z747">
        <v>47.835899353027301</v>
      </c>
      <c r="AJ747">
        <v>-1.4366862773895259</v>
      </c>
      <c r="AK747">
        <v>-1.66471791267395</v>
      </c>
      <c r="AM747">
        <f>VLOOKUP(D747,[1]Sheet1!$C$1:$D$191,2,FALSE)</f>
        <v>96</v>
      </c>
    </row>
    <row r="748" spans="1:39" x14ac:dyDescent="0.35">
      <c r="A748">
        <v>2017</v>
      </c>
      <c r="B748" t="s">
        <v>99</v>
      </c>
      <c r="C748">
        <v>96</v>
      </c>
      <c r="D748" t="s">
        <v>355</v>
      </c>
      <c r="E748">
        <v>495824</v>
      </c>
      <c r="G748">
        <v>495824</v>
      </c>
      <c r="H748">
        <v>15300590613.036699</v>
      </c>
      <c r="I748">
        <v>16369843352.345301</v>
      </c>
      <c r="J748">
        <v>-7.2328177747069461E-3</v>
      </c>
      <c r="K748">
        <v>795.88321697085905</v>
      </c>
      <c r="L748">
        <v>-8.8250940780842269E-3</v>
      </c>
      <c r="M748">
        <v>802.96949833550195</v>
      </c>
      <c r="N748">
        <v>18.0752696281771</v>
      </c>
      <c r="O748">
        <v>61.050852171963101</v>
      </c>
      <c r="R748">
        <v>19224668</v>
      </c>
      <c r="S748">
        <v>1.6064534058177224E-3</v>
      </c>
      <c r="U748">
        <v>1.43</v>
      </c>
      <c r="V748">
        <v>0</v>
      </c>
      <c r="W748">
        <v>1.459141</v>
      </c>
      <c r="X748">
        <v>79.663309999999996</v>
      </c>
      <c r="Y748">
        <v>32.700000000000003</v>
      </c>
      <c r="AJ748">
        <v>-2.097953081130981</v>
      </c>
      <c r="AK748">
        <v>-1.853042840957642</v>
      </c>
      <c r="AM748">
        <f>VLOOKUP(D748,[1]Sheet1!$C$1:$D$191,2,FALSE)</f>
        <v>96</v>
      </c>
    </row>
    <row r="749" spans="1:39" x14ac:dyDescent="0.35">
      <c r="A749">
        <v>2020</v>
      </c>
      <c r="B749" t="s">
        <v>99</v>
      </c>
      <c r="C749">
        <v>96</v>
      </c>
      <c r="D749" t="s">
        <v>355</v>
      </c>
      <c r="E749">
        <v>5325.0968592500003</v>
      </c>
      <c r="G749">
        <v>5325.0968592500003</v>
      </c>
      <c r="H749">
        <v>15593656903.825199</v>
      </c>
      <c r="I749">
        <v>12047752036.091</v>
      </c>
      <c r="J749">
        <v>-6.9715450423521582E-3</v>
      </c>
      <c r="K749">
        <v>740.81139701343795</v>
      </c>
      <c r="L749">
        <v>-3.9801107148892595E-2</v>
      </c>
      <c r="M749">
        <v>771.51869527130498</v>
      </c>
      <c r="O749">
        <v>44.818335302747997</v>
      </c>
      <c r="R749">
        <v>21049429</v>
      </c>
      <c r="S749">
        <v>3.4190376963528793E-2</v>
      </c>
      <c r="U749">
        <v>1.43</v>
      </c>
      <c r="V749">
        <v>0</v>
      </c>
      <c r="W749">
        <v>3.4562010000000001</v>
      </c>
      <c r="X749">
        <v>44.620449999999998</v>
      </c>
      <c r="AJ749">
        <v>-2.088908433914185</v>
      </c>
      <c r="AK749">
        <v>-1.891613841056824</v>
      </c>
      <c r="AM749">
        <f>VLOOKUP(D749,[1]Sheet1!$C$1:$D$191,2,FALSE)</f>
        <v>96</v>
      </c>
    </row>
    <row r="750" spans="1:39" x14ac:dyDescent="0.35">
      <c r="A750">
        <v>2013</v>
      </c>
      <c r="B750" t="s">
        <v>100</v>
      </c>
      <c r="C750">
        <v>97</v>
      </c>
      <c r="D750" t="s">
        <v>295</v>
      </c>
      <c r="E750">
        <v>190144.20971430681</v>
      </c>
      <c r="F750">
        <v>1989575</v>
      </c>
      <c r="G750">
        <v>2179719.209714307</v>
      </c>
      <c r="H750">
        <v>41845219654.681198</v>
      </c>
      <c r="I750">
        <v>45648857242.315002</v>
      </c>
      <c r="J750">
        <v>6.7815856006531908E-2</v>
      </c>
      <c r="K750">
        <v>882.8115234375</v>
      </c>
      <c r="L750">
        <v>3.6272367126257782E-2</v>
      </c>
      <c r="M750">
        <v>851.91070556640602</v>
      </c>
      <c r="N750">
        <v>7.8707236457395897</v>
      </c>
      <c r="O750">
        <v>48.631627529549498</v>
      </c>
      <c r="P750">
        <v>12.5373332966711</v>
      </c>
      <c r="Q750">
        <v>14.831074308240099</v>
      </c>
      <c r="R750">
        <v>48824128</v>
      </c>
      <c r="S750">
        <v>3.0604551923344027E-2</v>
      </c>
      <c r="T750">
        <v>79.010000000000005</v>
      </c>
      <c r="U750">
        <v>5.77</v>
      </c>
      <c r="V750">
        <v>5.7069254000000003</v>
      </c>
      <c r="W750">
        <v>7.5254729999999999</v>
      </c>
      <c r="X750">
        <v>48.63673</v>
      </c>
      <c r="Y750">
        <v>4.4000000000000004</v>
      </c>
      <c r="Z750">
        <v>3.67337417645482</v>
      </c>
      <c r="AJ750">
        <v>-0.47734940052032471</v>
      </c>
      <c r="AK750">
        <v>-0.35327386856079102</v>
      </c>
      <c r="AL750">
        <v>7.1529449999999994E-2</v>
      </c>
      <c r="AM750">
        <f>VLOOKUP(D750,[1]Sheet1!$C$1:$D$191,2,FALSE)</f>
        <v>97</v>
      </c>
    </row>
    <row r="751" spans="1:39" x14ac:dyDescent="0.35">
      <c r="A751">
        <v>2014</v>
      </c>
      <c r="B751" t="s">
        <v>100</v>
      </c>
      <c r="C751">
        <v>97</v>
      </c>
      <c r="D751" t="s">
        <v>295</v>
      </c>
      <c r="E751">
        <v>1376661.7676482031</v>
      </c>
      <c r="F751">
        <v>2473000</v>
      </c>
      <c r="G751">
        <v>3849661.7676482033</v>
      </c>
      <c r="H751">
        <v>44662433111.649399</v>
      </c>
      <c r="I751">
        <v>49986726460.680496</v>
      </c>
      <c r="J751">
        <v>6.7324618683248821E-2</v>
      </c>
      <c r="K751">
        <v>913.81121826171898</v>
      </c>
      <c r="L751">
        <v>3.511473740568323E-2</v>
      </c>
      <c r="M751">
        <v>882.8115234375</v>
      </c>
      <c r="N751">
        <v>6.1316143298801196</v>
      </c>
      <c r="O751">
        <v>45.356022343306499</v>
      </c>
      <c r="P751">
        <v>13.303734807897801</v>
      </c>
      <c r="Q751">
        <v>16.079444150273801</v>
      </c>
      <c r="R751">
        <v>50351512</v>
      </c>
      <c r="S751">
        <v>3.1283385132858901E-2</v>
      </c>
      <c r="T751">
        <v>84.61</v>
      </c>
      <c r="U751">
        <v>5.77</v>
      </c>
      <c r="V751">
        <v>5.8363643999999999</v>
      </c>
      <c r="W751">
        <v>8.4941840000000006</v>
      </c>
      <c r="X751">
        <v>48.664270000000002</v>
      </c>
      <c r="Y751">
        <v>7</v>
      </c>
      <c r="AJ751">
        <v>-0.40100806951522833</v>
      </c>
      <c r="AK751">
        <v>-0.36327028274536127</v>
      </c>
      <c r="AL751">
        <v>2.1865575000000002E-2</v>
      </c>
      <c r="AM751">
        <f>VLOOKUP(D751,[1]Sheet1!$C$1:$D$191,2,FALSE)</f>
        <v>97</v>
      </c>
    </row>
    <row r="752" spans="1:39" x14ac:dyDescent="0.35">
      <c r="A752">
        <v>2015</v>
      </c>
      <c r="B752" t="s">
        <v>100</v>
      </c>
      <c r="C752">
        <v>97</v>
      </c>
      <c r="D752" t="s">
        <v>295</v>
      </c>
      <c r="E752">
        <v>424120.93957263097</v>
      </c>
      <c r="F752">
        <v>1536225</v>
      </c>
      <c r="G752">
        <v>1960345.9395726309</v>
      </c>
      <c r="H752">
        <v>47413919817.124001</v>
      </c>
      <c r="I752">
        <v>47413919817.124001</v>
      </c>
      <c r="J752">
        <v>6.1606287740667794E-2</v>
      </c>
      <c r="K752">
        <v>939.12731933593795</v>
      </c>
      <c r="L752">
        <v>2.7703863301630372E-2</v>
      </c>
      <c r="M752">
        <v>913.81121826171898</v>
      </c>
      <c r="N752">
        <v>5.5881695295929799</v>
      </c>
      <c r="O752">
        <v>40.757680877831397</v>
      </c>
      <c r="P752">
        <v>14.6135380844234</v>
      </c>
      <c r="Q752">
        <v>14.8700779493296</v>
      </c>
      <c r="R752">
        <v>52020962</v>
      </c>
      <c r="S752">
        <v>3.315590602323918E-2</v>
      </c>
      <c r="U752">
        <v>5.58</v>
      </c>
      <c r="V752">
        <v>0</v>
      </c>
      <c r="W752">
        <v>7.8471419999999998</v>
      </c>
      <c r="X752">
        <v>48.157829999999997</v>
      </c>
      <c r="Y752">
        <v>10</v>
      </c>
      <c r="Z752">
        <v>3.9836107713250102</v>
      </c>
      <c r="AJ752">
        <v>-0.39559966325759888</v>
      </c>
      <c r="AK752">
        <v>-0.42790347337722778</v>
      </c>
      <c r="AL752">
        <v>0.1228607</v>
      </c>
      <c r="AM752">
        <f>VLOOKUP(D752,[1]Sheet1!$C$1:$D$191,2,FALSE)</f>
        <v>97</v>
      </c>
    </row>
    <row r="753" spans="1:39" x14ac:dyDescent="0.35">
      <c r="A753">
        <v>2016</v>
      </c>
      <c r="B753" t="s">
        <v>100</v>
      </c>
      <c r="C753">
        <v>97</v>
      </c>
      <c r="D753" t="s">
        <v>295</v>
      </c>
      <c r="E753">
        <v>192124.6735655434</v>
      </c>
      <c r="F753">
        <v>2126975</v>
      </c>
      <c r="G753">
        <v>2319099.6735655433</v>
      </c>
      <c r="H753">
        <v>50669888784.255501</v>
      </c>
      <c r="I753">
        <v>49774409374.453796</v>
      </c>
      <c r="J753">
        <v>6.8671161964457009E-2</v>
      </c>
      <c r="K753">
        <v>970.15612792968795</v>
      </c>
      <c r="L753">
        <v>3.3040044682855825E-2</v>
      </c>
      <c r="M753">
        <v>939.12731933593795</v>
      </c>
      <c r="N753">
        <v>5.1747662930149296</v>
      </c>
      <c r="O753">
        <v>35.420470400263603</v>
      </c>
      <c r="P753">
        <v>13.670306797678</v>
      </c>
      <c r="Q753">
        <v>13.368853146133301</v>
      </c>
      <c r="R753">
        <v>53824013</v>
      </c>
      <c r="S753">
        <v>3.4660085678538587E-2</v>
      </c>
      <c r="U753">
        <v>5.76</v>
      </c>
      <c r="V753">
        <v>0</v>
      </c>
      <c r="W753">
        <v>9.0778750000000006</v>
      </c>
      <c r="X753">
        <v>49.72833</v>
      </c>
      <c r="Y753">
        <v>13.504200000000001</v>
      </c>
      <c r="Z753">
        <v>3.7289393992540401</v>
      </c>
      <c r="AJ753">
        <v>-0.39632749557495123</v>
      </c>
      <c r="AK753">
        <v>-0.48307263851165771</v>
      </c>
      <c r="AL753">
        <v>0.1443701</v>
      </c>
      <c r="AM753">
        <f>VLOOKUP(D753,[1]Sheet1!$C$1:$D$191,2,FALSE)</f>
        <v>97</v>
      </c>
    </row>
    <row r="754" spans="1:39" x14ac:dyDescent="0.35">
      <c r="A754">
        <v>2017</v>
      </c>
      <c r="B754" t="s">
        <v>100</v>
      </c>
      <c r="C754">
        <v>97</v>
      </c>
      <c r="D754" t="s">
        <v>295</v>
      </c>
      <c r="E754">
        <v>385257.020464</v>
      </c>
      <c r="F754">
        <v>1678790.9850000001</v>
      </c>
      <c r="G754">
        <v>2064048.0054640002</v>
      </c>
      <c r="H754">
        <v>54096327104.737198</v>
      </c>
      <c r="I754">
        <v>53274884532.788597</v>
      </c>
      <c r="J754">
        <v>6.7622771683414143E-2</v>
      </c>
      <c r="K754">
        <v>1001.88745117188</v>
      </c>
      <c r="L754">
        <v>3.270743989414019E-2</v>
      </c>
      <c r="M754">
        <v>970.15612792968795</v>
      </c>
      <c r="N754">
        <v>5.31871605228931</v>
      </c>
      <c r="O754">
        <v>33.112591985312399</v>
      </c>
      <c r="P754">
        <v>13.0765127755534</v>
      </c>
      <c r="Q754">
        <v>15.7386532808111</v>
      </c>
      <c r="R754">
        <v>55652890</v>
      </c>
      <c r="S754">
        <v>3.3978830229548285E-2</v>
      </c>
      <c r="U754">
        <v>5.47</v>
      </c>
      <c r="V754">
        <v>0</v>
      </c>
      <c r="W754">
        <v>8.934196</v>
      </c>
      <c r="X754">
        <v>49.27478</v>
      </c>
      <c r="Y754">
        <v>14.4634</v>
      </c>
      <c r="Z754">
        <v>4.7820536115313796</v>
      </c>
      <c r="AJ754">
        <v>-0.47054225206375122</v>
      </c>
      <c r="AK754">
        <v>-0.6101151704788208</v>
      </c>
      <c r="AL754">
        <v>2.6045949999999998E-2</v>
      </c>
      <c r="AM754">
        <f>VLOOKUP(D754,[1]Sheet1!$C$1:$D$191,2,FALSE)</f>
        <v>97</v>
      </c>
    </row>
    <row r="755" spans="1:39" x14ac:dyDescent="0.35">
      <c r="A755">
        <v>2018</v>
      </c>
      <c r="B755" t="s">
        <v>100</v>
      </c>
      <c r="C755">
        <v>97</v>
      </c>
      <c r="D755" t="s">
        <v>295</v>
      </c>
      <c r="E755">
        <v>1235503.239332</v>
      </c>
      <c r="F755">
        <v>4343673</v>
      </c>
      <c r="G755">
        <v>5579176.2393319998</v>
      </c>
      <c r="H755">
        <v>57054358529.885803</v>
      </c>
      <c r="I755">
        <v>57003712892.0858</v>
      </c>
      <c r="J755">
        <v>5.4680818152801569E-2</v>
      </c>
      <c r="K755">
        <v>1024.01525878906</v>
      </c>
      <c r="L755">
        <v>2.2086121141948342E-2</v>
      </c>
      <c r="M755">
        <v>1001.88745117188</v>
      </c>
      <c r="N755">
        <v>3.49445848856181</v>
      </c>
      <c r="O755">
        <v>32.6426099043737</v>
      </c>
      <c r="P755">
        <v>12.7000393990914</v>
      </c>
      <c r="Q755">
        <v>14.5748625993064</v>
      </c>
      <c r="R755">
        <v>57437145</v>
      </c>
      <c r="S755">
        <v>3.2060419503820915E-2</v>
      </c>
      <c r="U755">
        <v>5.41</v>
      </c>
      <c r="V755">
        <v>0</v>
      </c>
      <c r="W755">
        <v>8.7992939999999997</v>
      </c>
      <c r="X755">
        <v>51.59554</v>
      </c>
      <c r="Y755">
        <v>15.4907</v>
      </c>
      <c r="Z755">
        <v>4.27996511118124</v>
      </c>
      <c r="AJ755">
        <v>-0.57305103540420532</v>
      </c>
      <c r="AK755">
        <v>-0.64099335670471191</v>
      </c>
      <c r="AL755">
        <v>4.4821350000000003E-2</v>
      </c>
      <c r="AM755">
        <f>VLOOKUP(D755,[1]Sheet1!$C$1:$D$191,2,FALSE)</f>
        <v>97</v>
      </c>
    </row>
    <row r="756" spans="1:39" x14ac:dyDescent="0.35">
      <c r="A756">
        <v>2019</v>
      </c>
      <c r="B756" t="s">
        <v>100</v>
      </c>
      <c r="C756">
        <v>97</v>
      </c>
      <c r="D756" t="s">
        <v>295</v>
      </c>
      <c r="E756">
        <v>61736.511352219997</v>
      </c>
      <c r="F756">
        <v>83047326.022499993</v>
      </c>
      <c r="G756">
        <v>83109062.53385222</v>
      </c>
      <c r="H756">
        <v>60363511324.600403</v>
      </c>
      <c r="I756">
        <v>61026731925.921303</v>
      </c>
      <c r="J756">
        <v>5.7999999999670891E-2</v>
      </c>
      <c r="K756">
        <v>1051.7666015625</v>
      </c>
      <c r="L756">
        <v>2.7100516848017578E-2</v>
      </c>
      <c r="M756">
        <v>1024.01525878906</v>
      </c>
      <c r="N756">
        <v>3.4642805799901999</v>
      </c>
      <c r="O756">
        <v>33.018589250231102</v>
      </c>
      <c r="P756">
        <v>12.638308153020599</v>
      </c>
      <c r="R756">
        <v>59174891</v>
      </c>
      <c r="S756">
        <v>3.0254741944433346E-2</v>
      </c>
      <c r="U756">
        <v>5.16</v>
      </c>
      <c r="V756">
        <v>0</v>
      </c>
      <c r="W756">
        <v>8.9980360000000008</v>
      </c>
      <c r="X756">
        <v>52.170200000000001</v>
      </c>
      <c r="Y756">
        <v>16.590900000000001</v>
      </c>
      <c r="Z756">
        <v>2.8558889882660798</v>
      </c>
      <c r="AJ756">
        <v>-0.56778424978256226</v>
      </c>
      <c r="AK756">
        <v>-0.66820406913757324</v>
      </c>
      <c r="AL756">
        <v>1.024045E-2</v>
      </c>
      <c r="AM756">
        <f>VLOOKUP(D756,[1]Sheet1!$C$1:$D$191,2,FALSE)</f>
        <v>97</v>
      </c>
    </row>
    <row r="757" spans="1:39" x14ac:dyDescent="0.35">
      <c r="A757">
        <v>2020</v>
      </c>
      <c r="B757" t="s">
        <v>100</v>
      </c>
      <c r="C757">
        <v>97</v>
      </c>
      <c r="D757" t="s">
        <v>295</v>
      </c>
      <c r="E757">
        <v>256126.16945439001</v>
      </c>
      <c r="F757">
        <v>102973002.96104971</v>
      </c>
      <c r="G757">
        <v>103229129.13050406</v>
      </c>
      <c r="H757">
        <v>61565931105.414101</v>
      </c>
      <c r="I757">
        <v>66068737786.063904</v>
      </c>
      <c r="J757">
        <v>1.9919646064785277E-2</v>
      </c>
      <c r="K757">
        <v>1041.25964355469</v>
      </c>
      <c r="L757">
        <v>-9.9898190265795724E-3</v>
      </c>
      <c r="M757">
        <v>1051.7666015625</v>
      </c>
      <c r="N757">
        <v>3.29029062798325</v>
      </c>
      <c r="O757">
        <v>27.963015196988401</v>
      </c>
      <c r="P757">
        <v>12.4351808144123</v>
      </c>
      <c r="Q757">
        <v>14.292651597457301</v>
      </c>
      <c r="R757">
        <v>60972798</v>
      </c>
      <c r="S757">
        <v>3.0382937249516861E-2</v>
      </c>
      <c r="T757">
        <v>35.375999999999998</v>
      </c>
      <c r="U757">
        <v>5.0999999999999996</v>
      </c>
      <c r="V757">
        <v>0</v>
      </c>
      <c r="W757">
        <v>8.4094929999999994</v>
      </c>
      <c r="X757">
        <v>62.294260000000001</v>
      </c>
      <c r="Y757">
        <v>17.769300000000001</v>
      </c>
      <c r="Z757">
        <v>7.1818826577518697</v>
      </c>
      <c r="AJ757">
        <v>-0.61520600318908691</v>
      </c>
      <c r="AK757">
        <v>-0.6893351674079895</v>
      </c>
      <c r="AL757">
        <v>6.9919850000000006E-2</v>
      </c>
      <c r="AM757">
        <f>VLOOKUP(D757,[1]Sheet1!$C$1:$D$191,2,FALSE)</f>
        <v>97</v>
      </c>
    </row>
    <row r="758" spans="1:39" x14ac:dyDescent="0.35">
      <c r="A758">
        <v>2013</v>
      </c>
      <c r="B758" t="s">
        <v>101</v>
      </c>
      <c r="C758">
        <v>98</v>
      </c>
      <c r="D758" t="s">
        <v>296</v>
      </c>
      <c r="E758">
        <v>118073.5</v>
      </c>
      <c r="G758">
        <v>118073.5</v>
      </c>
      <c r="H758">
        <v>385308369004.16699</v>
      </c>
      <c r="I758">
        <v>420333654592.547</v>
      </c>
      <c r="J758">
        <v>2.6874955632054585E-2</v>
      </c>
      <c r="K758">
        <v>5516.6116416413497</v>
      </c>
      <c r="L758">
        <v>2.0861531602813392E-2</v>
      </c>
      <c r="M758">
        <v>5403.87846036273</v>
      </c>
      <c r="N758">
        <v>2.1848861853067798</v>
      </c>
      <c r="O758">
        <v>132.462274174269</v>
      </c>
      <c r="P758">
        <v>142.363202683937</v>
      </c>
      <c r="Q758">
        <v>19.817256200685001</v>
      </c>
      <c r="R758">
        <v>69845114</v>
      </c>
      <c r="S758">
        <v>5.8905383767388544E-3</v>
      </c>
      <c r="T758">
        <v>71.203999999999994</v>
      </c>
      <c r="U758">
        <v>6.25</v>
      </c>
      <c r="V758">
        <v>102.35401</v>
      </c>
      <c r="W758">
        <v>2.7996569999999998</v>
      </c>
      <c r="X758">
        <v>47.192050000000002</v>
      </c>
      <c r="Y758">
        <v>28.94</v>
      </c>
      <c r="Z758">
        <v>49.687940818456603</v>
      </c>
      <c r="AF758">
        <v>0</v>
      </c>
      <c r="AJ758">
        <v>-0.1392775475978851</v>
      </c>
      <c r="AK758">
        <v>0.13063965737819669</v>
      </c>
      <c r="AL758">
        <v>4.3416950000000003E-2</v>
      </c>
      <c r="AM758">
        <f>VLOOKUP(D758,[1]Sheet1!$C$1:$D$191,2,FALSE)</f>
        <v>98</v>
      </c>
    </row>
    <row r="759" spans="1:39" x14ac:dyDescent="0.35">
      <c r="A759">
        <v>2014</v>
      </c>
      <c r="B759" t="s">
        <v>101</v>
      </c>
      <c r="C759">
        <v>98</v>
      </c>
      <c r="D759" t="s">
        <v>296</v>
      </c>
      <c r="E759">
        <v>238843.14</v>
      </c>
      <c r="G759">
        <v>238843.14</v>
      </c>
      <c r="H759">
        <v>389101609925.93298</v>
      </c>
      <c r="I759">
        <v>407339040197.651</v>
      </c>
      <c r="J759">
        <v>9.8446886361945804E-3</v>
      </c>
      <c r="K759">
        <v>5541.4659936184498</v>
      </c>
      <c r="L759">
        <v>4.5053655380579306E-3</v>
      </c>
      <c r="M759">
        <v>5516.6116416413497</v>
      </c>
      <c r="N759">
        <v>1.8951418189878</v>
      </c>
      <c r="O759">
        <v>130.90549544439801</v>
      </c>
      <c r="P759">
        <v>145.56422576105601</v>
      </c>
      <c r="Q759">
        <v>19.995227327491499</v>
      </c>
      <c r="R759">
        <v>70216367</v>
      </c>
      <c r="S759">
        <v>5.3153753890358025E-3</v>
      </c>
      <c r="T759">
        <v>70.762</v>
      </c>
      <c r="U759">
        <v>5.39</v>
      </c>
      <c r="V759">
        <v>114.21387</v>
      </c>
      <c r="W759">
        <v>2.9497330000000002</v>
      </c>
      <c r="X759">
        <v>49.202579999999998</v>
      </c>
      <c r="Y759">
        <v>34.886099999999999</v>
      </c>
      <c r="Z759">
        <v>49.909182002139403</v>
      </c>
      <c r="AF759">
        <v>0</v>
      </c>
      <c r="AJ759">
        <v>-0.2204021364450455</v>
      </c>
      <c r="AK759">
        <v>0.17480647563934329</v>
      </c>
      <c r="AL759">
        <v>0.100539525</v>
      </c>
      <c r="AM759">
        <f>VLOOKUP(D759,[1]Sheet1!$C$1:$D$191,2,FALSE)</f>
        <v>98</v>
      </c>
    </row>
    <row r="760" spans="1:39" x14ac:dyDescent="0.35">
      <c r="A760">
        <v>2015</v>
      </c>
      <c r="B760" t="s">
        <v>101</v>
      </c>
      <c r="C760">
        <v>98</v>
      </c>
      <c r="D760" t="s">
        <v>296</v>
      </c>
      <c r="E760">
        <v>879637.17999999993</v>
      </c>
      <c r="G760">
        <v>879637.17999999993</v>
      </c>
      <c r="H760">
        <v>401296238228.08398</v>
      </c>
      <c r="I760">
        <v>401296238228.08398</v>
      </c>
      <c r="J760">
        <v>3.134047249116316E-2</v>
      </c>
      <c r="K760">
        <v>5688.8533539788396</v>
      </c>
      <c r="L760">
        <v>2.6597178531839939E-2</v>
      </c>
      <c r="M760">
        <v>5541.4659936184498</v>
      </c>
      <c r="N760">
        <v>-0.90042496329156896</v>
      </c>
      <c r="O760">
        <v>124.839662152526</v>
      </c>
      <c r="P760">
        <v>149.37325347513701</v>
      </c>
      <c r="Q760">
        <v>19.3927758672544</v>
      </c>
      <c r="R760">
        <v>70540795</v>
      </c>
      <c r="S760">
        <v>4.6204042427885799E-3</v>
      </c>
      <c r="T760">
        <v>70.337999999999994</v>
      </c>
      <c r="U760">
        <v>5.09</v>
      </c>
      <c r="V760">
        <v>117.37179999999999</v>
      </c>
      <c r="W760">
        <v>2.7301880000000001</v>
      </c>
      <c r="X760">
        <v>44.97616</v>
      </c>
      <c r="Y760">
        <v>39.316099999999999</v>
      </c>
      <c r="Z760">
        <v>45.713134717198002</v>
      </c>
      <c r="AF760">
        <v>0</v>
      </c>
      <c r="AJ760">
        <v>-0.1881146430969238</v>
      </c>
      <c r="AK760">
        <v>0.19590173661708829</v>
      </c>
      <c r="AL760">
        <v>8.6944424999999992E-2</v>
      </c>
      <c r="AM760">
        <f>VLOOKUP(D760,[1]Sheet1!$C$1:$D$191,2,FALSE)</f>
        <v>98</v>
      </c>
    </row>
    <row r="761" spans="1:39" x14ac:dyDescent="0.35">
      <c r="A761">
        <v>2016</v>
      </c>
      <c r="B761" t="s">
        <v>101</v>
      </c>
      <c r="C761">
        <v>98</v>
      </c>
      <c r="D761" t="s">
        <v>296</v>
      </c>
      <c r="E761">
        <v>3723952.7218019539</v>
      </c>
      <c r="G761">
        <v>3723952.7218019543</v>
      </c>
      <c r="H761">
        <v>415081396923.29303</v>
      </c>
      <c r="I761">
        <v>413366349747.508</v>
      </c>
      <c r="J761">
        <v>3.4351577169218321E-2</v>
      </c>
      <c r="K761">
        <v>5857.7805293592601</v>
      </c>
      <c r="L761">
        <v>2.9694415529672814E-2</v>
      </c>
      <c r="M761">
        <v>5688.8533539788396</v>
      </c>
      <c r="N761">
        <v>0.18814970444823401</v>
      </c>
      <c r="O761">
        <v>120.57522728913</v>
      </c>
      <c r="P761">
        <v>146.22394944902399</v>
      </c>
      <c r="Q761">
        <v>19.665296401912698</v>
      </c>
      <c r="R761">
        <v>70859841</v>
      </c>
      <c r="S761">
        <v>4.5228580142880441E-3</v>
      </c>
      <c r="T761">
        <v>70.034999999999997</v>
      </c>
      <c r="U761">
        <v>4.92</v>
      </c>
      <c r="V761">
        <v>117.62496</v>
      </c>
      <c r="W761">
        <v>2.9380799999999998</v>
      </c>
      <c r="X761">
        <v>44.374270000000003</v>
      </c>
      <c r="Y761">
        <v>47.505000000000003</v>
      </c>
      <c r="Z761">
        <v>49.3227291503798</v>
      </c>
      <c r="AF761">
        <v>0</v>
      </c>
      <c r="AJ761">
        <v>-2.8230709955096241E-2</v>
      </c>
      <c r="AK761">
        <v>5.2868694067001343E-2</v>
      </c>
      <c r="AL761">
        <v>0.11938185</v>
      </c>
      <c r="AM761">
        <f>VLOOKUP(D761,[1]Sheet1!$C$1:$D$191,2,FALSE)</f>
        <v>98</v>
      </c>
    </row>
    <row r="762" spans="1:39" x14ac:dyDescent="0.35">
      <c r="A762">
        <v>2017</v>
      </c>
      <c r="B762" t="s">
        <v>101</v>
      </c>
      <c r="C762">
        <v>98</v>
      </c>
      <c r="D762" t="s">
        <v>296</v>
      </c>
      <c r="E762">
        <v>2516303</v>
      </c>
      <c r="F762">
        <v>822065</v>
      </c>
      <c r="G762">
        <v>3338368</v>
      </c>
      <c r="H762">
        <v>432422173710.33301</v>
      </c>
      <c r="I762">
        <v>456356813536.76398</v>
      </c>
      <c r="J762">
        <v>4.1776810320999641E-2</v>
      </c>
      <c r="K762">
        <v>6076.7430770008204</v>
      </c>
      <c r="L762">
        <v>3.7379780028308961E-2</v>
      </c>
      <c r="M762">
        <v>5857.7805293592601</v>
      </c>
      <c r="N762">
        <v>0.66563189313510596</v>
      </c>
      <c r="O762">
        <v>120.891427433638</v>
      </c>
      <c r="P762">
        <v>144.64030726520599</v>
      </c>
      <c r="Q762">
        <v>19.122663547864001</v>
      </c>
      <c r="R762">
        <v>71160187</v>
      </c>
      <c r="S762">
        <v>4.2385926324615937E-3</v>
      </c>
      <c r="T762">
        <v>69.477999999999994</v>
      </c>
      <c r="U762">
        <v>4.63</v>
      </c>
      <c r="V762">
        <v>117.79172</v>
      </c>
      <c r="W762">
        <v>3.121823</v>
      </c>
      <c r="X762">
        <v>44.107819999999997</v>
      </c>
      <c r="Y762">
        <v>52.8919</v>
      </c>
      <c r="Z762">
        <v>47.427491541895002</v>
      </c>
      <c r="AF762">
        <v>0</v>
      </c>
      <c r="AI762">
        <v>1</v>
      </c>
      <c r="AJ762">
        <v>1.3869789429008961E-2</v>
      </c>
      <c r="AK762">
        <v>7.616857998073101E-3</v>
      </c>
      <c r="AL762">
        <v>9.5029274999999996E-2</v>
      </c>
      <c r="AM762">
        <f>VLOOKUP(D762,[1]Sheet1!$C$1:$D$191,2,FALSE)</f>
        <v>98</v>
      </c>
    </row>
    <row r="763" spans="1:39" x14ac:dyDescent="0.35">
      <c r="A763">
        <v>2018</v>
      </c>
      <c r="B763" t="s">
        <v>101</v>
      </c>
      <c r="C763">
        <v>98</v>
      </c>
      <c r="D763" t="s">
        <v>296</v>
      </c>
      <c r="E763">
        <v>28032116.321493</v>
      </c>
      <c r="F763">
        <v>2958627.4339999999</v>
      </c>
      <c r="G763">
        <v>30990743.755493</v>
      </c>
      <c r="H763">
        <v>450682801200.33899</v>
      </c>
      <c r="I763">
        <v>506754208404.48499</v>
      </c>
      <c r="J763">
        <v>4.2228702874608469E-2</v>
      </c>
      <c r="K763">
        <v>6314.1994841204296</v>
      </c>
      <c r="L763">
        <v>3.9076262417335222E-2</v>
      </c>
      <c r="M763">
        <v>6076.7430770008204</v>
      </c>
      <c r="N763">
        <v>1.06389754183015</v>
      </c>
      <c r="O763">
        <v>120.841864730984</v>
      </c>
      <c r="P763">
        <v>144.08879167577101</v>
      </c>
      <c r="Q763">
        <v>19.019694260613601</v>
      </c>
      <c r="R763">
        <v>71376079</v>
      </c>
      <c r="S763">
        <v>3.0338874741855301E-3</v>
      </c>
      <c r="T763">
        <v>69.894000000000005</v>
      </c>
      <c r="U763">
        <v>4.63</v>
      </c>
      <c r="V763">
        <v>117.50324000000001</v>
      </c>
      <c r="W763">
        <v>3.0042</v>
      </c>
      <c r="X763">
        <v>42.9514</v>
      </c>
      <c r="Y763">
        <v>56.817500000000003</v>
      </c>
      <c r="Z763">
        <v>46.166779117428597</v>
      </c>
      <c r="AF763">
        <v>0</v>
      </c>
      <c r="AI763">
        <v>1</v>
      </c>
      <c r="AJ763">
        <v>-4.0311887860298157E-3</v>
      </c>
      <c r="AK763">
        <v>-4.4096656143665307E-2</v>
      </c>
      <c r="AL763">
        <v>7.1668024999999996E-2</v>
      </c>
      <c r="AM763">
        <f>VLOOKUP(D763,[1]Sheet1!$C$1:$D$191,2,FALSE)</f>
        <v>98</v>
      </c>
    </row>
    <row r="764" spans="1:39" x14ac:dyDescent="0.35">
      <c r="A764">
        <v>2019</v>
      </c>
      <c r="B764" t="s">
        <v>101</v>
      </c>
      <c r="C764">
        <v>98</v>
      </c>
      <c r="D764" t="s">
        <v>296</v>
      </c>
      <c r="E764">
        <v>6084119.9900433104</v>
      </c>
      <c r="F764">
        <v>504450.52180295001</v>
      </c>
      <c r="G764">
        <v>6588570.5118462602</v>
      </c>
      <c r="H764">
        <v>460212749509.62598</v>
      </c>
      <c r="I764">
        <v>543976691793.88599</v>
      </c>
      <c r="J764">
        <v>2.1145577962826904E-2</v>
      </c>
      <c r="K764">
        <v>6434.5377051803398</v>
      </c>
      <c r="L764">
        <v>1.905834957583279E-2</v>
      </c>
      <c r="M764">
        <v>6314.1994841204296</v>
      </c>
      <c r="N764">
        <v>0.70672860131431103</v>
      </c>
      <c r="O764">
        <v>109.689514715166</v>
      </c>
      <c r="P764">
        <v>143.36916338306801</v>
      </c>
      <c r="Q764">
        <v>18.6665827342784</v>
      </c>
      <c r="R764">
        <v>71522271</v>
      </c>
      <c r="S764">
        <v>2.0481932048971195E-3</v>
      </c>
      <c r="T764">
        <v>69.287000000000006</v>
      </c>
      <c r="U764">
        <v>6.32</v>
      </c>
      <c r="V764">
        <v>115.09166999999999</v>
      </c>
      <c r="W764">
        <v>3.0464090000000001</v>
      </c>
      <c r="X764">
        <v>42.90849</v>
      </c>
      <c r="Y764">
        <v>66.6524</v>
      </c>
      <c r="Z764">
        <v>44.988004007205298</v>
      </c>
      <c r="AF764">
        <v>0</v>
      </c>
      <c r="AI764">
        <v>1</v>
      </c>
      <c r="AJ764">
        <v>8.8741794228553772E-2</v>
      </c>
      <c r="AK764">
        <v>-2.194509282708168E-2</v>
      </c>
      <c r="AL764">
        <v>3.9738299999999997E-2</v>
      </c>
      <c r="AM764">
        <f>VLOOKUP(D764,[1]Sheet1!$C$1:$D$191,2,FALSE)</f>
        <v>98</v>
      </c>
    </row>
    <row r="765" spans="1:39" x14ac:dyDescent="0.35">
      <c r="A765">
        <v>2020</v>
      </c>
      <c r="B765" t="s">
        <v>101</v>
      </c>
      <c r="C765">
        <v>98</v>
      </c>
      <c r="D765" t="s">
        <v>296</v>
      </c>
      <c r="E765">
        <v>8125204.7741259206</v>
      </c>
      <c r="F765">
        <v>4118766.1230844799</v>
      </c>
      <c r="G765">
        <v>12243970.897210402</v>
      </c>
      <c r="H765">
        <v>432369701127.27802</v>
      </c>
      <c r="I765">
        <v>500461898480.24597</v>
      </c>
      <c r="J765">
        <v>-6.0500384685160891E-2</v>
      </c>
      <c r="K765">
        <v>6035.1862773707699</v>
      </c>
      <c r="L765">
        <v>-6.2063732642060471E-2</v>
      </c>
      <c r="M765">
        <v>6434.5377051803398</v>
      </c>
      <c r="N765">
        <v>-0.84593714735704095</v>
      </c>
      <c r="O765">
        <v>97.800743246517797</v>
      </c>
      <c r="P765">
        <v>160.110920105828</v>
      </c>
      <c r="Q765">
        <v>22.831357459655798</v>
      </c>
      <c r="R765">
        <v>71641484</v>
      </c>
      <c r="S765">
        <v>1.6667955076538328E-3</v>
      </c>
      <c r="T765">
        <v>69.299000000000007</v>
      </c>
      <c r="U765">
        <v>6.04</v>
      </c>
      <c r="V765">
        <v>111.82162</v>
      </c>
      <c r="W765">
        <v>2.8576299999999999</v>
      </c>
      <c r="X765">
        <v>43.412799999999997</v>
      </c>
      <c r="Y765">
        <v>77.843699999999998</v>
      </c>
      <c r="Z765">
        <v>42.5900878816865</v>
      </c>
      <c r="AF765">
        <v>0</v>
      </c>
      <c r="AI765">
        <v>1</v>
      </c>
      <c r="AJ765">
        <v>0.111505389213562</v>
      </c>
      <c r="AK765">
        <v>6.3660755753517151E-2</v>
      </c>
      <c r="AL765">
        <v>2.7013849999999999E-2</v>
      </c>
      <c r="AM765">
        <f>VLOOKUP(D765,[1]Sheet1!$C$1:$D$191,2,FALSE)</f>
        <v>98</v>
      </c>
    </row>
    <row r="766" spans="1:39" x14ac:dyDescent="0.35">
      <c r="A766">
        <v>2013</v>
      </c>
      <c r="B766" t="s">
        <v>102</v>
      </c>
      <c r="C766">
        <v>99</v>
      </c>
      <c r="D766" t="s">
        <v>356</v>
      </c>
      <c r="E766">
        <v>4689</v>
      </c>
      <c r="G766">
        <v>4689</v>
      </c>
      <c r="H766">
        <v>1485364306.59745</v>
      </c>
      <c r="I766">
        <v>1395727400</v>
      </c>
      <c r="J766">
        <v>3.1043668321111235E-2</v>
      </c>
      <c r="K766">
        <v>1281.92864092574</v>
      </c>
      <c r="L766">
        <v>9.8567729407729992E-3</v>
      </c>
      <c r="M766">
        <v>1269.4162927606801</v>
      </c>
      <c r="N766">
        <v>10.987234415647499</v>
      </c>
      <c r="O766">
        <v>79.634124829819896</v>
      </c>
      <c r="P766">
        <v>13.0233995012207</v>
      </c>
      <c r="Q766">
        <v>62.920596099209597</v>
      </c>
      <c r="R766">
        <v>1158695</v>
      </c>
      <c r="S766">
        <v>2.0980099305215948E-2</v>
      </c>
      <c r="T766">
        <v>48.344000000000001</v>
      </c>
      <c r="U766">
        <v>7.24</v>
      </c>
      <c r="V766">
        <v>3.0684572999999999</v>
      </c>
      <c r="W766">
        <v>0</v>
      </c>
      <c r="X766">
        <v>0</v>
      </c>
      <c r="Y766">
        <v>11</v>
      </c>
      <c r="AJ766">
        <v>-1.2129547595977781</v>
      </c>
      <c r="AK766">
        <v>-0.99148178100585938</v>
      </c>
      <c r="AM766">
        <f>VLOOKUP(D766,[1]Sheet1!$C$1:$D$191,2,FALSE)</f>
        <v>99</v>
      </c>
    </row>
    <row r="767" spans="1:39" x14ac:dyDescent="0.35">
      <c r="A767">
        <v>2017</v>
      </c>
      <c r="B767" t="s">
        <v>102</v>
      </c>
      <c r="C767">
        <v>99</v>
      </c>
      <c r="D767" t="s">
        <v>356</v>
      </c>
      <c r="E767">
        <v>13252</v>
      </c>
      <c r="F767">
        <v>545550</v>
      </c>
      <c r="G767">
        <v>558802</v>
      </c>
      <c r="H767">
        <v>1586016100.26827</v>
      </c>
      <c r="I767">
        <v>1584878400</v>
      </c>
      <c r="J767">
        <v>-3.1824152248921808E-2</v>
      </c>
      <c r="K767">
        <v>1267.0866014288299</v>
      </c>
      <c r="L767">
        <v>-4.9916783851419337E-2</v>
      </c>
      <c r="M767">
        <v>1333.6585468431999</v>
      </c>
      <c r="N767">
        <v>0.52297668038403999</v>
      </c>
      <c r="O767">
        <v>58.634750779618201</v>
      </c>
      <c r="P767">
        <v>16.380780831513601</v>
      </c>
      <c r="Q767">
        <v>57.056606956735202</v>
      </c>
      <c r="R767">
        <v>1251703</v>
      </c>
      <c r="S767">
        <v>1.9043207263301182E-2</v>
      </c>
      <c r="U767">
        <v>7.19</v>
      </c>
      <c r="V767">
        <v>11.993815</v>
      </c>
      <c r="W767">
        <v>0</v>
      </c>
      <c r="X767">
        <v>0</v>
      </c>
      <c r="Y767">
        <v>24.2</v>
      </c>
      <c r="AJ767">
        <v>-1.173154354095459</v>
      </c>
      <c r="AK767">
        <v>-0.74377411603927612</v>
      </c>
      <c r="AM767">
        <f>VLOOKUP(D767,[1]Sheet1!$C$1:$D$191,2,FALSE)</f>
        <v>99</v>
      </c>
    </row>
    <row r="768" spans="1:39" x14ac:dyDescent="0.35">
      <c r="A768">
        <v>2018</v>
      </c>
      <c r="B768" t="s">
        <v>102</v>
      </c>
      <c r="C768">
        <v>99</v>
      </c>
      <c r="D768" t="s">
        <v>356</v>
      </c>
      <c r="E768">
        <v>12790.37</v>
      </c>
      <c r="F768">
        <v>1190000</v>
      </c>
      <c r="G768">
        <v>1202790.3700000001</v>
      </c>
      <c r="H768">
        <v>1578617300.73352</v>
      </c>
      <c r="I768">
        <v>1555988600</v>
      </c>
      <c r="J768">
        <v>-4.6650217065882871E-3</v>
      </c>
      <c r="K768">
        <v>1237.2006473041199</v>
      </c>
      <c r="L768">
        <v>-2.3586354785070814E-2</v>
      </c>
      <c r="M768">
        <v>1267.0866014288299</v>
      </c>
      <c r="N768">
        <v>2.2942430703625298</v>
      </c>
      <c r="O768">
        <v>64.819183122549902</v>
      </c>
      <c r="P768">
        <v>16.0577020840641</v>
      </c>
      <c r="Q768">
        <v>56.939959707142599</v>
      </c>
      <c r="R768">
        <v>1275959</v>
      </c>
      <c r="S768">
        <v>1.9378398869380357E-2</v>
      </c>
      <c r="U768">
        <v>7.19</v>
      </c>
      <c r="V768">
        <v>11.661422999999999</v>
      </c>
      <c r="W768">
        <v>0</v>
      </c>
      <c r="X768">
        <v>0</v>
      </c>
      <c r="Y768">
        <v>27.6</v>
      </c>
      <c r="AJ768">
        <v>-1.1395033597946169</v>
      </c>
      <c r="AK768">
        <v>-0.79241621494293213</v>
      </c>
      <c r="AM768">
        <f>VLOOKUP(D768,[1]Sheet1!$C$1:$D$191,2,FALSE)</f>
        <v>99</v>
      </c>
    </row>
    <row r="769" spans="1:39" x14ac:dyDescent="0.35">
      <c r="A769">
        <v>2019</v>
      </c>
      <c r="B769" t="s">
        <v>102</v>
      </c>
      <c r="C769">
        <v>99</v>
      </c>
      <c r="D769" t="s">
        <v>356</v>
      </c>
      <c r="F769">
        <v>1374575</v>
      </c>
      <c r="G769">
        <v>1374575</v>
      </c>
      <c r="H769">
        <v>1960846076.6982501</v>
      </c>
      <c r="I769">
        <v>2032550400</v>
      </c>
      <c r="J769">
        <v>0.24212884008500582</v>
      </c>
      <c r="K769">
        <v>1507.2474829437399</v>
      </c>
      <c r="L769">
        <v>0.21827246552776736</v>
      </c>
      <c r="M769">
        <v>1237.2006473041199</v>
      </c>
      <c r="N769">
        <v>0.95881273970315395</v>
      </c>
      <c r="O769">
        <v>70.614244055153605</v>
      </c>
      <c r="P769">
        <v>12.9706037510804</v>
      </c>
      <c r="Q769">
        <v>49.045444876143698</v>
      </c>
      <c r="R769">
        <v>1300945</v>
      </c>
      <c r="S769">
        <v>1.9582133908691422E-2</v>
      </c>
      <c r="U769">
        <v>7.19</v>
      </c>
      <c r="V769">
        <v>8.8791437999999996</v>
      </c>
      <c r="W769">
        <v>0</v>
      </c>
      <c r="X769">
        <v>0</v>
      </c>
      <c r="Y769">
        <v>28.0046</v>
      </c>
      <c r="AJ769">
        <v>-1.1298147439956669</v>
      </c>
      <c r="AK769">
        <v>-0.77525430917739868</v>
      </c>
      <c r="AM769">
        <f>VLOOKUP(D769,[1]Sheet1!$C$1:$D$191,2,FALSE)</f>
        <v>99</v>
      </c>
    </row>
    <row r="770" spans="1:39" x14ac:dyDescent="0.35">
      <c r="A770">
        <v>2020</v>
      </c>
      <c r="B770" t="s">
        <v>102</v>
      </c>
      <c r="C770">
        <v>99</v>
      </c>
      <c r="D770" t="s">
        <v>356</v>
      </c>
      <c r="E770">
        <v>3140.92</v>
      </c>
      <c r="F770">
        <v>1100250</v>
      </c>
      <c r="G770">
        <v>1103390.92</v>
      </c>
      <c r="H770">
        <v>2582939037.5798502</v>
      </c>
      <c r="I770">
        <v>2162619200</v>
      </c>
      <c r="J770">
        <v>0.31725741672141078</v>
      </c>
      <c r="K770">
        <v>1947.8399713886599</v>
      </c>
      <c r="L770">
        <v>0.29231595569456048</v>
      </c>
      <c r="M770">
        <v>1507.2474829437399</v>
      </c>
      <c r="N770">
        <v>0.49549921545957698</v>
      </c>
      <c r="O770">
        <v>84.750311104238804</v>
      </c>
      <c r="P770">
        <v>13.4246473595536</v>
      </c>
      <c r="Q770">
        <v>52.186073463339703</v>
      </c>
      <c r="R770">
        <v>1326053</v>
      </c>
      <c r="S770">
        <v>1.9299816671727092E-2</v>
      </c>
      <c r="U770">
        <v>7.06</v>
      </c>
      <c r="V770">
        <v>13.448058</v>
      </c>
      <c r="W770">
        <v>0</v>
      </c>
      <c r="X770">
        <v>0</v>
      </c>
      <c r="Y770">
        <v>32.012700000000002</v>
      </c>
      <c r="AJ770">
        <v>-1.199614405632019</v>
      </c>
      <c r="AK770">
        <v>-0.76364076137542725</v>
      </c>
      <c r="AM770">
        <f>VLOOKUP(D770,[1]Sheet1!$C$1:$D$191,2,FALSE)</f>
        <v>99</v>
      </c>
    </row>
    <row r="771" spans="1:39" x14ac:dyDescent="0.35">
      <c r="A771">
        <v>2013</v>
      </c>
      <c r="B771" t="s">
        <v>103</v>
      </c>
      <c r="C771">
        <v>100</v>
      </c>
      <c r="D771" t="s">
        <v>297</v>
      </c>
      <c r="E771">
        <v>16609</v>
      </c>
      <c r="F771">
        <v>562075</v>
      </c>
      <c r="G771">
        <v>578684</v>
      </c>
      <c r="H771">
        <v>5166050854.6853199</v>
      </c>
      <c r="I771">
        <v>6021732977.2658396</v>
      </c>
      <c r="J771">
        <v>5.8242658324455104E-2</v>
      </c>
      <c r="K771">
        <v>709.09230417115702</v>
      </c>
      <c r="L771">
        <v>3.1413295267488213E-2</v>
      </c>
      <c r="M771">
        <v>687.49579574428503</v>
      </c>
      <c r="N771">
        <v>1.8253947590917099</v>
      </c>
      <c r="O771">
        <v>80.990588645506307</v>
      </c>
      <c r="P771">
        <v>27.247542305841101</v>
      </c>
      <c r="Q771">
        <v>12.8302678943147</v>
      </c>
      <c r="R771">
        <v>7285442</v>
      </c>
      <c r="S771">
        <v>2.6012233098090115E-2</v>
      </c>
      <c r="U771">
        <v>3.45</v>
      </c>
      <c r="V771">
        <v>4.7789115000000004</v>
      </c>
      <c r="W771">
        <v>3.8227920000000002</v>
      </c>
      <c r="X771">
        <v>87.138030000000001</v>
      </c>
      <c r="Y771">
        <v>4.5</v>
      </c>
      <c r="Z771">
        <v>10.839786567787799</v>
      </c>
      <c r="AJ771">
        <v>-0.98430383205413818</v>
      </c>
      <c r="AK771">
        <v>-0.9409259557723999</v>
      </c>
      <c r="AL771">
        <v>0.13254584999999999</v>
      </c>
      <c r="AM771">
        <f>VLOOKUP(D771,[1]Sheet1!$C$1:$D$191,2,FALSE)</f>
        <v>100</v>
      </c>
    </row>
    <row r="772" spans="1:39" x14ac:dyDescent="0.35">
      <c r="A772">
        <v>2014</v>
      </c>
      <c r="B772" t="s">
        <v>103</v>
      </c>
      <c r="C772">
        <v>100</v>
      </c>
      <c r="D772" t="s">
        <v>297</v>
      </c>
      <c r="E772">
        <v>8335.5517048437905</v>
      </c>
      <c r="F772">
        <v>420925</v>
      </c>
      <c r="G772">
        <v>429260.55170484376</v>
      </c>
      <c r="H772">
        <v>5457066909.1242704</v>
      </c>
      <c r="I772">
        <v>6393318261.8271198</v>
      </c>
      <c r="J772">
        <v>5.6332402182029472E-2</v>
      </c>
      <c r="K772">
        <v>730.29152541994597</v>
      </c>
      <c r="L772">
        <v>2.9896278839985812E-2</v>
      </c>
      <c r="M772">
        <v>709.09230417115702</v>
      </c>
      <c r="N772">
        <v>0.19087507624975</v>
      </c>
      <c r="O772">
        <v>69.923746683391499</v>
      </c>
      <c r="P772">
        <v>25.475408179442301</v>
      </c>
      <c r="Q772">
        <v>11.554646225489501</v>
      </c>
      <c r="R772">
        <v>7472450</v>
      </c>
      <c r="S772">
        <v>2.5668724011528744E-2</v>
      </c>
      <c r="U772">
        <v>3.45</v>
      </c>
      <c r="V772">
        <v>5.5169021000000003</v>
      </c>
      <c r="W772">
        <v>2.4901230000000001</v>
      </c>
      <c r="X772">
        <v>100</v>
      </c>
      <c r="Y772">
        <v>5.7</v>
      </c>
      <c r="Z772">
        <v>10.538494517563199</v>
      </c>
      <c r="AJ772">
        <v>-0.85859024524688721</v>
      </c>
      <c r="AK772">
        <v>-0.8451882004737854</v>
      </c>
      <c r="AL772">
        <v>7.2667099999999998E-2</v>
      </c>
      <c r="AM772">
        <f>VLOOKUP(D772,[1]Sheet1!$C$1:$D$191,2,FALSE)</f>
        <v>100</v>
      </c>
    </row>
    <row r="773" spans="1:39" x14ac:dyDescent="0.35">
      <c r="A773">
        <v>2015</v>
      </c>
      <c r="B773" t="s">
        <v>103</v>
      </c>
      <c r="C773">
        <v>100</v>
      </c>
      <c r="D773" t="s">
        <v>297</v>
      </c>
      <c r="E773">
        <v>1538</v>
      </c>
      <c r="F773">
        <v>386825</v>
      </c>
      <c r="G773">
        <v>388363</v>
      </c>
      <c r="H773">
        <v>5755461035.3802605</v>
      </c>
      <c r="I773">
        <v>5755461035.3802605</v>
      </c>
      <c r="J773">
        <v>5.4680312927274551E-2</v>
      </c>
      <c r="K773">
        <v>751.05240508433599</v>
      </c>
      <c r="L773">
        <v>2.8428208382196007E-2</v>
      </c>
      <c r="M773">
        <v>730.29152541994597</v>
      </c>
      <c r="N773">
        <v>2.5850039080159499</v>
      </c>
      <c r="O773">
        <v>68.200088420978403</v>
      </c>
      <c r="P773">
        <v>29.175110409239299</v>
      </c>
      <c r="Q773">
        <v>12.9253756844092</v>
      </c>
      <c r="R773">
        <v>7663195</v>
      </c>
      <c r="S773">
        <v>2.5526433766703022E-2</v>
      </c>
      <c r="T773">
        <v>83.188000000000002</v>
      </c>
      <c r="U773">
        <v>3.41</v>
      </c>
      <c r="V773">
        <v>5.6401646000000003</v>
      </c>
      <c r="W773">
        <v>2.7669060000000001</v>
      </c>
      <c r="X773">
        <v>72.966290000000001</v>
      </c>
      <c r="Y773">
        <v>7.12</v>
      </c>
      <c r="Z773">
        <v>10.8146472215817</v>
      </c>
      <c r="AJ773">
        <v>-0.81895315647125244</v>
      </c>
      <c r="AK773">
        <v>-0.86392897367477417</v>
      </c>
      <c r="AL773">
        <v>4.4607999999999988E-2</v>
      </c>
      <c r="AM773">
        <f>VLOOKUP(D773,[1]Sheet1!$C$1:$D$191,2,FALSE)</f>
        <v>100</v>
      </c>
    </row>
    <row r="774" spans="1:39" x14ac:dyDescent="0.35">
      <c r="A774">
        <v>2016</v>
      </c>
      <c r="B774" t="s">
        <v>103</v>
      </c>
      <c r="C774">
        <v>100</v>
      </c>
      <c r="D774" t="s">
        <v>297</v>
      </c>
      <c r="E774">
        <v>2366.7731052075201</v>
      </c>
      <c r="F774">
        <v>428825</v>
      </c>
      <c r="G774">
        <v>431191.77310520754</v>
      </c>
      <c r="H774">
        <v>5998047709.8530703</v>
      </c>
      <c r="I774">
        <v>6071170959.1209297</v>
      </c>
      <c r="J774">
        <v>4.2148956092582117E-2</v>
      </c>
      <c r="K774">
        <v>763.27654911305399</v>
      </c>
      <c r="L774">
        <v>1.6276020083239529E-2</v>
      </c>
      <c r="M774">
        <v>751.05240508433599</v>
      </c>
      <c r="N774">
        <v>1.28544847051417</v>
      </c>
      <c r="O774">
        <v>65.528752213151904</v>
      </c>
      <c r="P774">
        <v>30.4170887194541</v>
      </c>
      <c r="Q774">
        <v>13.6105290587947</v>
      </c>
      <c r="R774">
        <v>7858289</v>
      </c>
      <c r="S774">
        <v>2.5458571783701183E-2</v>
      </c>
      <c r="U774">
        <v>3.32</v>
      </c>
      <c r="V774">
        <v>6.0967992999999998</v>
      </c>
      <c r="W774">
        <v>2.0121449999999999</v>
      </c>
      <c r="X774">
        <v>65.641120000000001</v>
      </c>
      <c r="Y774">
        <v>11.31</v>
      </c>
      <c r="Z774">
        <v>12.0913340463942</v>
      </c>
      <c r="AJ774">
        <v>-0.65260642766952515</v>
      </c>
      <c r="AK774">
        <v>-0.83429765701293945</v>
      </c>
      <c r="AL774">
        <v>7.4261324999999989E-2</v>
      </c>
      <c r="AM774">
        <f>VLOOKUP(D774,[1]Sheet1!$C$1:$D$191,2,FALSE)</f>
        <v>100</v>
      </c>
    </row>
    <row r="775" spans="1:39" x14ac:dyDescent="0.35">
      <c r="A775">
        <v>2017</v>
      </c>
      <c r="B775" t="s">
        <v>103</v>
      </c>
      <c r="C775">
        <v>100</v>
      </c>
      <c r="D775" t="s">
        <v>297</v>
      </c>
      <c r="E775">
        <v>17889</v>
      </c>
      <c r="F775">
        <v>718475</v>
      </c>
      <c r="G775">
        <v>736364</v>
      </c>
      <c r="H775">
        <v>6238457455.1597099</v>
      </c>
      <c r="I775">
        <v>6387422517.6922503</v>
      </c>
      <c r="J775">
        <v>4.0081332616230356E-2</v>
      </c>
      <c r="K775">
        <v>774.27690907191698</v>
      </c>
      <c r="L775">
        <v>1.4412024018877135E-2</v>
      </c>
      <c r="M775">
        <v>763.27654911305399</v>
      </c>
      <c r="N775">
        <v>-0.98188986894311903</v>
      </c>
      <c r="O775">
        <v>57.6019844158645</v>
      </c>
      <c r="P775">
        <v>29.639884882281301</v>
      </c>
      <c r="Q775">
        <v>11.512138393370901</v>
      </c>
      <c r="R775">
        <v>8057140</v>
      </c>
      <c r="S775">
        <v>2.530461783729257E-2</v>
      </c>
      <c r="T775">
        <v>49.994</v>
      </c>
      <c r="U775">
        <v>3.05</v>
      </c>
      <c r="V775">
        <v>3.9839600000000002</v>
      </c>
      <c r="W775">
        <v>2.6832769999999999</v>
      </c>
      <c r="X775">
        <v>65.062060000000002</v>
      </c>
      <c r="Y775">
        <v>12.360200000000001</v>
      </c>
      <c r="Z775">
        <v>12.3068653432672</v>
      </c>
      <c r="AJ775">
        <v>-0.7309868335723877</v>
      </c>
      <c r="AK775">
        <v>-0.83218657970428467</v>
      </c>
      <c r="AL775">
        <v>5.2371174999999992E-2</v>
      </c>
      <c r="AM775">
        <f>VLOOKUP(D775,[1]Sheet1!$C$1:$D$191,2,FALSE)</f>
        <v>100</v>
      </c>
    </row>
    <row r="776" spans="1:39" x14ac:dyDescent="0.35">
      <c r="A776">
        <v>2018</v>
      </c>
      <c r="B776" t="s">
        <v>103</v>
      </c>
      <c r="C776">
        <v>100</v>
      </c>
      <c r="D776" t="s">
        <v>297</v>
      </c>
      <c r="E776">
        <v>7080</v>
      </c>
      <c r="F776">
        <v>851375</v>
      </c>
      <c r="G776">
        <v>858455</v>
      </c>
      <c r="H776">
        <v>6537595250.0731201</v>
      </c>
      <c r="I776">
        <v>7029300383.0803099</v>
      </c>
      <c r="J776">
        <v>4.7950602703236998E-2</v>
      </c>
      <c r="K776">
        <v>791.59353236921004</v>
      </c>
      <c r="L776">
        <v>2.2364896969547424E-2</v>
      </c>
      <c r="M776">
        <v>774.27690907191698</v>
      </c>
      <c r="N776">
        <v>0.92775542645718301</v>
      </c>
      <c r="O776">
        <v>57.355803708636401</v>
      </c>
      <c r="P776">
        <v>27.805896497669298</v>
      </c>
      <c r="Q776">
        <v>13.629188835115199</v>
      </c>
      <c r="R776">
        <v>8258778</v>
      </c>
      <c r="S776">
        <v>2.5026001782270137E-2</v>
      </c>
      <c r="U776">
        <v>3.1</v>
      </c>
      <c r="V776">
        <v>6.1363279999999998</v>
      </c>
      <c r="W776">
        <v>3.732364</v>
      </c>
      <c r="X776">
        <v>66.945369999999997</v>
      </c>
      <c r="Y776">
        <v>15.5</v>
      </c>
      <c r="Z776">
        <v>12.903159960318501</v>
      </c>
      <c r="AJ776">
        <v>-0.61918783187866211</v>
      </c>
      <c r="AK776">
        <v>-0.70613569021224976</v>
      </c>
      <c r="AL776">
        <v>3.8892000000000003E-2</v>
      </c>
      <c r="AM776">
        <f>VLOOKUP(D776,[1]Sheet1!$C$1:$D$191,2,FALSE)</f>
        <v>100</v>
      </c>
    </row>
    <row r="777" spans="1:39" x14ac:dyDescent="0.35">
      <c r="A777">
        <v>2019</v>
      </c>
      <c r="B777" t="s">
        <v>103</v>
      </c>
      <c r="C777">
        <v>100</v>
      </c>
      <c r="D777" t="s">
        <v>297</v>
      </c>
      <c r="E777">
        <v>5769.79555325</v>
      </c>
      <c r="F777">
        <v>1318269.0149999999</v>
      </c>
      <c r="G777">
        <v>1324038.8105532499</v>
      </c>
      <c r="H777">
        <v>6859436220.9783602</v>
      </c>
      <c r="I777">
        <v>6992700101.3718796</v>
      </c>
      <c r="J777">
        <v>4.9229259168597266E-2</v>
      </c>
      <c r="K777">
        <v>810.51413281547104</v>
      </c>
      <c r="L777">
        <v>2.3901913889609924E-2</v>
      </c>
      <c r="M777">
        <v>791.59353236921004</v>
      </c>
      <c r="N777">
        <v>0.67465277007743596</v>
      </c>
      <c r="O777">
        <v>56.142393400209897</v>
      </c>
      <c r="P777">
        <v>27.593129484049701</v>
      </c>
      <c r="Q777">
        <v>13.396367022204201</v>
      </c>
      <c r="R777">
        <v>8463068</v>
      </c>
      <c r="S777">
        <v>2.4736105026675861E-2</v>
      </c>
      <c r="T777">
        <v>71.435000000000002</v>
      </c>
      <c r="U777">
        <v>3.3</v>
      </c>
      <c r="V777">
        <v>6.0812901000000004</v>
      </c>
      <c r="W777">
        <v>3.8362530000000001</v>
      </c>
      <c r="X777">
        <v>62.410220000000002</v>
      </c>
      <c r="Y777">
        <v>20.7273</v>
      </c>
      <c r="Z777">
        <v>13.155147212361699</v>
      </c>
      <c r="AJ777">
        <v>-0.59054666757583618</v>
      </c>
      <c r="AK777">
        <v>-0.74494510889053345</v>
      </c>
      <c r="AL777">
        <v>6.9424100000000002E-2</v>
      </c>
      <c r="AM777">
        <f>VLOOKUP(D777,[1]Sheet1!$C$1:$D$191,2,FALSE)</f>
        <v>100</v>
      </c>
    </row>
    <row r="778" spans="1:39" x14ac:dyDescent="0.35">
      <c r="A778">
        <v>2020</v>
      </c>
      <c r="B778" t="s">
        <v>103</v>
      </c>
      <c r="C778">
        <v>100</v>
      </c>
      <c r="D778" t="s">
        <v>297</v>
      </c>
      <c r="E778">
        <v>1126.9355833065999</v>
      </c>
      <c r="F778">
        <v>1334760.3073664519</v>
      </c>
      <c r="G778">
        <v>1335887.2429497587</v>
      </c>
      <c r="H778">
        <v>6996086823.9093399</v>
      </c>
      <c r="I778">
        <v>7400284167.78479</v>
      </c>
      <c r="J778">
        <v>1.9921550187034072E-2</v>
      </c>
      <c r="K778">
        <v>806.95649039523096</v>
      </c>
      <c r="L778">
        <v>-4.3893650661981122E-3</v>
      </c>
      <c r="M778">
        <v>810.51413281547104</v>
      </c>
      <c r="N778">
        <v>1.6992846329940801</v>
      </c>
      <c r="O778">
        <v>55.548538560863904</v>
      </c>
      <c r="P778">
        <v>27.2051293652776</v>
      </c>
      <c r="Q778">
        <v>14.4035059657002</v>
      </c>
      <c r="R778">
        <v>8669720</v>
      </c>
      <c r="S778">
        <v>2.4418095187229975E-2</v>
      </c>
      <c r="U778">
        <v>2.8</v>
      </c>
      <c r="V778">
        <v>6.5112617999999998</v>
      </c>
      <c r="W778">
        <v>0</v>
      </c>
      <c r="X778">
        <v>0</v>
      </c>
      <c r="Y778">
        <v>29.023700000000002</v>
      </c>
      <c r="Z778">
        <v>14.9029897765252</v>
      </c>
      <c r="AJ778">
        <v>-0.67414981126785278</v>
      </c>
      <c r="AK778">
        <v>-0.66430193185806274</v>
      </c>
      <c r="AL778">
        <v>0.10721235</v>
      </c>
      <c r="AM778">
        <f>VLOOKUP(D778,[1]Sheet1!$C$1:$D$191,2,FALSE)</f>
        <v>100</v>
      </c>
    </row>
    <row r="779" spans="1:39" x14ac:dyDescent="0.35">
      <c r="A779">
        <v>2013</v>
      </c>
      <c r="B779" t="s">
        <v>104</v>
      </c>
      <c r="C779">
        <v>101</v>
      </c>
      <c r="D779" t="s">
        <v>298</v>
      </c>
      <c r="E779">
        <v>336403.081818267</v>
      </c>
      <c r="G779">
        <v>336403.081818267</v>
      </c>
      <c r="H779">
        <v>43981556030.359398</v>
      </c>
      <c r="I779">
        <v>48685446413.953003</v>
      </c>
      <c r="J779">
        <v>2.4299309644643264E-2</v>
      </c>
      <c r="K779">
        <v>3947.5927609166802</v>
      </c>
      <c r="L779">
        <v>1.2189966874892077E-2</v>
      </c>
      <c r="M779">
        <v>3900.0512651837098</v>
      </c>
      <c r="N779">
        <v>5.3162353132668896</v>
      </c>
      <c r="O779">
        <v>98.954956686203801</v>
      </c>
      <c r="P779">
        <v>73.110470408560602</v>
      </c>
      <c r="R779">
        <v>11141361</v>
      </c>
      <c r="S779">
        <v>1.1963508003480948E-2</v>
      </c>
      <c r="T779">
        <v>52.637</v>
      </c>
      <c r="U779">
        <v>5.76</v>
      </c>
      <c r="V779">
        <v>23.135109</v>
      </c>
      <c r="W779">
        <v>3.03634</v>
      </c>
      <c r="X779">
        <v>41.167099999999998</v>
      </c>
      <c r="Y779">
        <v>43.8</v>
      </c>
      <c r="Z779">
        <v>34.213008880615199</v>
      </c>
      <c r="AJ779">
        <v>-0.17883801460266111</v>
      </c>
      <c r="AK779">
        <v>-0.28544563055038452</v>
      </c>
      <c r="AL779">
        <v>0.224755275</v>
      </c>
      <c r="AM779">
        <f>VLOOKUP(D779,[1]Sheet1!$C$1:$D$191,2,FALSE)</f>
        <v>101</v>
      </c>
    </row>
    <row r="780" spans="1:39" x14ac:dyDescent="0.35">
      <c r="A780">
        <v>2014</v>
      </c>
      <c r="B780" t="s">
        <v>104</v>
      </c>
      <c r="C780">
        <v>101</v>
      </c>
      <c r="D780" t="s">
        <v>298</v>
      </c>
      <c r="E780">
        <v>20474</v>
      </c>
      <c r="G780">
        <v>20474</v>
      </c>
      <c r="H780">
        <v>45340730384.707001</v>
      </c>
      <c r="I780">
        <v>50271812920.612</v>
      </c>
      <c r="J780">
        <v>3.0903280307076855E-2</v>
      </c>
      <c r="K780">
        <v>4021.6047687186101</v>
      </c>
      <c r="L780">
        <v>1.8748643105917399E-2</v>
      </c>
      <c r="M780">
        <v>3947.5927609166802</v>
      </c>
      <c r="N780">
        <v>4.6255509953403102</v>
      </c>
      <c r="O780">
        <v>96.107103855870093</v>
      </c>
      <c r="P780">
        <v>73.946900352919698</v>
      </c>
      <c r="R780">
        <v>11274288</v>
      </c>
      <c r="S780">
        <v>1.1930948113071644E-2</v>
      </c>
      <c r="T780">
        <v>49.743000000000002</v>
      </c>
      <c r="U780">
        <v>6.31</v>
      </c>
      <c r="V780">
        <v>24.504721</v>
      </c>
      <c r="W780">
        <v>3.00624</v>
      </c>
      <c r="X780">
        <v>40.42436</v>
      </c>
      <c r="Y780">
        <v>46.16</v>
      </c>
      <c r="Z780">
        <v>33.725231170654297</v>
      </c>
      <c r="AJ780">
        <v>-6.8823695182800293E-2</v>
      </c>
      <c r="AK780">
        <v>-0.33950647711753851</v>
      </c>
      <c r="AL780">
        <v>0.169791425</v>
      </c>
      <c r="AM780">
        <f>VLOOKUP(D780,[1]Sheet1!$C$1:$D$191,2,FALSE)</f>
        <v>101</v>
      </c>
    </row>
    <row r="781" spans="1:39" x14ac:dyDescent="0.35">
      <c r="A781">
        <v>2015</v>
      </c>
      <c r="B781" t="s">
        <v>104</v>
      </c>
      <c r="C781">
        <v>101</v>
      </c>
      <c r="D781" t="s">
        <v>298</v>
      </c>
      <c r="E781">
        <v>38459</v>
      </c>
      <c r="G781">
        <v>38459</v>
      </c>
      <c r="H781">
        <v>45779494041.929497</v>
      </c>
      <c r="I781">
        <v>45779494041.929497</v>
      </c>
      <c r="J781">
        <v>9.6770310822008026E-3</v>
      </c>
      <c r="K781">
        <v>4014.9477368643202</v>
      </c>
      <c r="L781">
        <v>-1.655317276841959E-3</v>
      </c>
      <c r="M781">
        <v>4021.6047687186101</v>
      </c>
      <c r="N781">
        <v>4.4373712732149997</v>
      </c>
      <c r="O781">
        <v>87.248530659605194</v>
      </c>
      <c r="P781">
        <v>74.791765680573505</v>
      </c>
      <c r="R781">
        <v>11402264</v>
      </c>
      <c r="S781">
        <v>1.1351138094041948E-2</v>
      </c>
      <c r="T781">
        <v>52.027999999999999</v>
      </c>
      <c r="U781">
        <v>6.72</v>
      </c>
      <c r="V781">
        <v>26.395966999999999</v>
      </c>
      <c r="W781">
        <v>3.0537369999999999</v>
      </c>
      <c r="X781">
        <v>38.705860000000001</v>
      </c>
      <c r="Y781">
        <v>46.5</v>
      </c>
      <c r="Z781">
        <v>33.373851776122997</v>
      </c>
      <c r="AJ781">
        <v>-4.647025465965271E-2</v>
      </c>
      <c r="AK781">
        <v>-0.3883894681930542</v>
      </c>
      <c r="AL781">
        <v>7.4190275E-2</v>
      </c>
      <c r="AM781">
        <f>VLOOKUP(D781,[1]Sheet1!$C$1:$D$191,2,FALSE)</f>
        <v>101</v>
      </c>
    </row>
    <row r="782" spans="1:39" x14ac:dyDescent="0.35">
      <c r="A782">
        <v>2016</v>
      </c>
      <c r="B782" t="s">
        <v>104</v>
      </c>
      <c r="C782">
        <v>101</v>
      </c>
      <c r="D782" t="s">
        <v>298</v>
      </c>
      <c r="E782">
        <v>563017.25207864144</v>
      </c>
      <c r="G782">
        <v>563017.25207864144</v>
      </c>
      <c r="H782">
        <v>46291045987.634102</v>
      </c>
      <c r="I782">
        <v>44360072680.447601</v>
      </c>
      <c r="J782">
        <v>1.1174259489108246E-2</v>
      </c>
      <c r="K782">
        <v>4015.29664102169</v>
      </c>
      <c r="L782">
        <v>8.6901294920045606E-5</v>
      </c>
      <c r="M782">
        <v>4014.9477368643202</v>
      </c>
      <c r="N782">
        <v>3.62939937384381</v>
      </c>
      <c r="O782">
        <v>87.0926643641466</v>
      </c>
      <c r="P782">
        <v>76.950892515130604</v>
      </c>
      <c r="R782">
        <v>11528674</v>
      </c>
      <c r="S782">
        <v>1.1086394772125956E-2</v>
      </c>
      <c r="T782">
        <v>51.884</v>
      </c>
      <c r="U782">
        <v>6.4</v>
      </c>
      <c r="V782">
        <v>27.761044999999999</v>
      </c>
      <c r="W782">
        <v>2.4306990000000002</v>
      </c>
      <c r="X782">
        <v>35.384180000000001</v>
      </c>
      <c r="Y782">
        <v>49.6</v>
      </c>
      <c r="Z782">
        <v>31.212810516357401</v>
      </c>
      <c r="AJ782">
        <v>2.1599991247057911E-2</v>
      </c>
      <c r="AK782">
        <v>-0.45396575331687927</v>
      </c>
      <c r="AL782">
        <v>0.10418475000000001</v>
      </c>
      <c r="AM782">
        <f>VLOOKUP(D782,[1]Sheet1!$C$1:$D$191,2,FALSE)</f>
        <v>101</v>
      </c>
    </row>
    <row r="783" spans="1:39" x14ac:dyDescent="0.35">
      <c r="A783">
        <v>2017</v>
      </c>
      <c r="B783" t="s">
        <v>104</v>
      </c>
      <c r="C783">
        <v>101</v>
      </c>
      <c r="D783" t="s">
        <v>298</v>
      </c>
      <c r="E783">
        <v>43349.712900000013</v>
      </c>
      <c r="G783">
        <v>43349.712900000006</v>
      </c>
      <c r="H783">
        <v>47326964919.964302</v>
      </c>
      <c r="I783">
        <v>42163530590.946198</v>
      </c>
      <c r="J783">
        <v>2.2378386796594076E-2</v>
      </c>
      <c r="K783">
        <v>4062.2267751957302</v>
      </c>
      <c r="L783">
        <v>1.1687837380328352E-2</v>
      </c>
      <c r="M783">
        <v>4015.29664102169</v>
      </c>
      <c r="N783">
        <v>5.3088483956584396</v>
      </c>
      <c r="O783">
        <v>95.806845306656598</v>
      </c>
      <c r="P783">
        <v>81.712599069712695</v>
      </c>
      <c r="R783">
        <v>11650498</v>
      </c>
      <c r="S783">
        <v>1.0567043529897714E-2</v>
      </c>
      <c r="T783">
        <v>51.156999999999996</v>
      </c>
      <c r="U783">
        <v>6.32</v>
      </c>
      <c r="V783">
        <v>29.988531999999999</v>
      </c>
      <c r="W783">
        <v>2.4724910000000002</v>
      </c>
      <c r="X783">
        <v>36.495510000000003</v>
      </c>
      <c r="Y783">
        <v>55.5002</v>
      </c>
      <c r="Z783">
        <v>30.927749633789102</v>
      </c>
      <c r="AJ783">
        <v>9.3789137899875641E-2</v>
      </c>
      <c r="AK783">
        <v>-0.36254346370697021</v>
      </c>
      <c r="AL783">
        <v>5.32189E-2</v>
      </c>
      <c r="AM783">
        <f>VLOOKUP(D783,[1]Sheet1!$C$1:$D$191,2,FALSE)</f>
        <v>101</v>
      </c>
    </row>
    <row r="784" spans="1:39" x14ac:dyDescent="0.35">
      <c r="A784">
        <v>2018</v>
      </c>
      <c r="B784" t="s">
        <v>104</v>
      </c>
      <c r="C784">
        <v>101</v>
      </c>
      <c r="D784" t="s">
        <v>298</v>
      </c>
      <c r="E784">
        <v>1376.0397499999999</v>
      </c>
      <c r="G784">
        <v>1376.0397499999999</v>
      </c>
      <c r="H784">
        <v>48569264671.684196</v>
      </c>
      <c r="I784">
        <v>42686504459.801003</v>
      </c>
      <c r="J784">
        <v>2.6249301087039399E-2</v>
      </c>
      <c r="K784">
        <v>4128.1039376336803</v>
      </c>
      <c r="L784">
        <v>1.6217007588104425E-2</v>
      </c>
      <c r="M784">
        <v>4062.2267751957302</v>
      </c>
      <c r="N784">
        <v>7.3075917603165204</v>
      </c>
      <c r="O784">
        <v>103.875276030995</v>
      </c>
      <c r="R784">
        <v>11765514</v>
      </c>
      <c r="S784">
        <v>9.8721960211486243E-3</v>
      </c>
      <c r="U784">
        <v>6.41</v>
      </c>
      <c r="V784">
        <v>30.718778</v>
      </c>
      <c r="W784">
        <v>2.6293139999999999</v>
      </c>
      <c r="X784">
        <v>37.475160000000002</v>
      </c>
      <c r="Y784">
        <v>64.190799999999996</v>
      </c>
      <c r="Z784">
        <v>30.959470748901399</v>
      </c>
      <c r="AJ784">
        <v>5.3313538432121277E-2</v>
      </c>
      <c r="AK784">
        <v>-0.49495631456375122</v>
      </c>
      <c r="AL784">
        <v>0.123461025</v>
      </c>
      <c r="AM784">
        <f>VLOOKUP(D784,[1]Sheet1!$C$1:$D$191,2,FALSE)</f>
        <v>101</v>
      </c>
    </row>
    <row r="785" spans="1:39" x14ac:dyDescent="0.35">
      <c r="A785">
        <v>2019</v>
      </c>
      <c r="B785" t="s">
        <v>104</v>
      </c>
      <c r="C785">
        <v>101</v>
      </c>
      <c r="D785" t="s">
        <v>298</v>
      </c>
      <c r="E785">
        <v>4060.7457848099998</v>
      </c>
      <c r="G785">
        <v>4060.7457848099998</v>
      </c>
      <c r="H785">
        <v>49340470115.969002</v>
      </c>
      <c r="I785">
        <v>41905642418.824997</v>
      </c>
      <c r="J785">
        <v>1.5878466546651607E-2</v>
      </c>
      <c r="K785">
        <v>4154.95861594283</v>
      </c>
      <c r="L785">
        <v>6.5053299807522206E-3</v>
      </c>
      <c r="M785">
        <v>4128.1039376336803</v>
      </c>
      <c r="N785">
        <v>6.7200753286379902</v>
      </c>
      <c r="O785">
        <v>102.33448511132499</v>
      </c>
      <c r="R785">
        <v>11875081</v>
      </c>
      <c r="S785">
        <v>9.3125553205750302E-3</v>
      </c>
      <c r="T785">
        <v>53.622999999999998</v>
      </c>
      <c r="U785">
        <v>6.72</v>
      </c>
      <c r="V785">
        <v>32.206566000000002</v>
      </c>
      <c r="W785">
        <v>3.4022230000000002</v>
      </c>
      <c r="X785">
        <v>37.269260000000003</v>
      </c>
      <c r="Y785">
        <v>66.7</v>
      </c>
      <c r="Z785">
        <v>31.4410896301269</v>
      </c>
      <c r="AJ785">
        <v>8.7141871452331543E-2</v>
      </c>
      <c r="AK785">
        <v>-0.38512387871742249</v>
      </c>
      <c r="AL785">
        <v>0.105251925</v>
      </c>
      <c r="AM785">
        <f>VLOOKUP(D785,[1]Sheet1!$C$1:$D$191,2,FALSE)</f>
        <v>101</v>
      </c>
    </row>
    <row r="786" spans="1:39" x14ac:dyDescent="0.35">
      <c r="A786">
        <v>2020</v>
      </c>
      <c r="B786" t="s">
        <v>104</v>
      </c>
      <c r="C786">
        <v>101</v>
      </c>
      <c r="D786" t="s">
        <v>298</v>
      </c>
      <c r="E786">
        <v>136927.43160000001</v>
      </c>
      <c r="G786">
        <v>136927.43160000001</v>
      </c>
      <c r="H786">
        <v>44893939452.694099</v>
      </c>
      <c r="I786">
        <v>42491780918.361</v>
      </c>
      <c r="J786">
        <v>-9.0119341239024528E-2</v>
      </c>
      <c r="K786">
        <v>3749.26722435797</v>
      </c>
      <c r="L786">
        <v>-9.7640296591209666E-2</v>
      </c>
      <c r="M786">
        <v>4154.95861594283</v>
      </c>
      <c r="N786">
        <v>5.6341511589762501</v>
      </c>
      <c r="O786">
        <v>84.331572415882206</v>
      </c>
      <c r="R786">
        <v>11974057</v>
      </c>
      <c r="S786">
        <v>8.3347642007662939E-3</v>
      </c>
      <c r="U786">
        <v>6.59</v>
      </c>
      <c r="V786">
        <v>33.851914999999998</v>
      </c>
      <c r="W786">
        <v>3.1433209999999998</v>
      </c>
      <c r="X786">
        <v>38.220939999999999</v>
      </c>
      <c r="Y786">
        <v>68.556399999999996</v>
      </c>
      <c r="Z786">
        <v>32.518199920654297</v>
      </c>
      <c r="AI786">
        <v>1</v>
      </c>
      <c r="AJ786">
        <v>0.1415344774723053</v>
      </c>
      <c r="AK786">
        <v>-0.30348923802375788</v>
      </c>
      <c r="AL786">
        <v>9.1606800000000002E-2</v>
      </c>
      <c r="AM786">
        <f>VLOOKUP(D786,[1]Sheet1!$C$1:$D$191,2,FALSE)</f>
        <v>101</v>
      </c>
    </row>
    <row r="787" spans="1:39" x14ac:dyDescent="0.35">
      <c r="A787">
        <v>2013</v>
      </c>
      <c r="B787" t="s">
        <v>105</v>
      </c>
      <c r="C787">
        <v>102</v>
      </c>
      <c r="D787" t="s">
        <v>299</v>
      </c>
      <c r="E787">
        <v>364717.5980263559</v>
      </c>
      <c r="F787">
        <v>3024075</v>
      </c>
      <c r="G787">
        <v>3388792.5980263557</v>
      </c>
      <c r="H787">
        <v>29294007439.772598</v>
      </c>
      <c r="I787">
        <v>28915786516.612301</v>
      </c>
      <c r="J787">
        <v>3.5869058262300309E-2</v>
      </c>
      <c r="K787">
        <v>828.98866972998599</v>
      </c>
      <c r="L787">
        <v>6.5666946373213924E-3</v>
      </c>
      <c r="M787">
        <v>823.580468285493</v>
      </c>
      <c r="N787">
        <v>4.9052087569455702</v>
      </c>
      <c r="O787">
        <v>43.109154873468697</v>
      </c>
      <c r="P787">
        <v>12.226230235828901</v>
      </c>
      <c r="R787">
        <v>35337042</v>
      </c>
      <c r="S787">
        <v>2.9111199268856344E-2</v>
      </c>
      <c r="T787">
        <v>84.79</v>
      </c>
      <c r="U787">
        <v>5.22</v>
      </c>
      <c r="V787">
        <v>4.8586036999999997</v>
      </c>
      <c r="W787">
        <v>10.31785</v>
      </c>
      <c r="X787">
        <v>50.363799999999998</v>
      </c>
      <c r="Y787">
        <v>5.0999999999999996</v>
      </c>
      <c r="AF787">
        <v>0</v>
      </c>
      <c r="AJ787">
        <v>-0.34641408920288091</v>
      </c>
      <c r="AK787">
        <v>-0.27647203207015991</v>
      </c>
      <c r="AL787">
        <v>3.0609549999999999E-2</v>
      </c>
      <c r="AM787">
        <f>VLOOKUP(D787,[1]Sheet1!$C$1:$D$191,2,FALSE)</f>
        <v>102</v>
      </c>
    </row>
    <row r="788" spans="1:39" x14ac:dyDescent="0.35">
      <c r="A788">
        <v>2014</v>
      </c>
      <c r="B788" t="s">
        <v>105</v>
      </c>
      <c r="C788">
        <v>102</v>
      </c>
      <c r="D788" t="s">
        <v>299</v>
      </c>
      <c r="E788">
        <v>620759.19879636692</v>
      </c>
      <c r="F788">
        <v>4709525</v>
      </c>
      <c r="G788">
        <v>5330284.1987963673</v>
      </c>
      <c r="H788">
        <v>30789849487.572399</v>
      </c>
      <c r="I788">
        <v>32612397257.445801</v>
      </c>
      <c r="J788">
        <v>5.1063073253981968E-2</v>
      </c>
      <c r="K788">
        <v>845.97866479109905</v>
      </c>
      <c r="L788">
        <v>2.0494845926720517E-2</v>
      </c>
      <c r="M788">
        <v>828.98866972998599</v>
      </c>
      <c r="N788">
        <v>3.07570668958641</v>
      </c>
      <c r="O788">
        <v>36.014401081908503</v>
      </c>
      <c r="P788">
        <v>12.9035596137235</v>
      </c>
      <c r="R788">
        <v>36395539</v>
      </c>
      <c r="S788">
        <v>2.9954318191092507E-2</v>
      </c>
      <c r="T788">
        <v>72.352999999999994</v>
      </c>
      <c r="U788">
        <v>5.22</v>
      </c>
      <c r="V788">
        <v>4.4556826000000003</v>
      </c>
      <c r="W788">
        <v>8.8262830000000001</v>
      </c>
      <c r="X788">
        <v>50.918480000000002</v>
      </c>
      <c r="Y788">
        <v>5.4</v>
      </c>
      <c r="Z788">
        <v>4.6189999580383301</v>
      </c>
      <c r="AF788">
        <v>0</v>
      </c>
      <c r="AJ788">
        <v>-0.3946385383605957</v>
      </c>
      <c r="AK788">
        <v>-0.25664940476417542</v>
      </c>
      <c r="AL788">
        <v>4.5078874999999997E-2</v>
      </c>
      <c r="AM788">
        <f>VLOOKUP(D788,[1]Sheet1!$C$1:$D$191,2,FALSE)</f>
        <v>102</v>
      </c>
    </row>
    <row r="789" spans="1:39" x14ac:dyDescent="0.35">
      <c r="A789">
        <v>2015</v>
      </c>
      <c r="B789" t="s">
        <v>105</v>
      </c>
      <c r="C789">
        <v>102</v>
      </c>
      <c r="D789" t="s">
        <v>299</v>
      </c>
      <c r="E789">
        <v>1089360.3415409341</v>
      </c>
      <c r="F789">
        <v>3936175</v>
      </c>
      <c r="G789">
        <v>5025535.3415409345</v>
      </c>
      <c r="H789">
        <v>32387183730.100201</v>
      </c>
      <c r="I789">
        <v>32387183730.100201</v>
      </c>
      <c r="J789">
        <v>5.1878598600247398E-2</v>
      </c>
      <c r="K789">
        <v>862.93461035581095</v>
      </c>
      <c r="L789">
        <v>2.0042994309908392E-2</v>
      </c>
      <c r="M789">
        <v>845.97866479109905</v>
      </c>
      <c r="N789">
        <v>5.5896860625172504</v>
      </c>
      <c r="O789">
        <v>37.689298332435797</v>
      </c>
      <c r="P789">
        <v>13.7686115419746</v>
      </c>
      <c r="Q789">
        <v>10.761109830903299</v>
      </c>
      <c r="R789">
        <v>37531446</v>
      </c>
      <c r="S789">
        <v>3.1210061211073149E-2</v>
      </c>
      <c r="U789">
        <v>5.22</v>
      </c>
      <c r="V789">
        <v>4.6373600000000001</v>
      </c>
      <c r="W789">
        <v>8.6252139999999997</v>
      </c>
      <c r="X789">
        <v>45.034730000000003</v>
      </c>
      <c r="Y789">
        <v>5.8</v>
      </c>
      <c r="AF789">
        <v>0</v>
      </c>
      <c r="AJ789">
        <v>-0.41423326730728149</v>
      </c>
      <c r="AK789">
        <v>-0.31901320815086359</v>
      </c>
      <c r="AL789">
        <v>9.7019724999999987E-2</v>
      </c>
      <c r="AM789">
        <f>VLOOKUP(D789,[1]Sheet1!$C$1:$D$191,2,FALSE)</f>
        <v>102</v>
      </c>
    </row>
    <row r="790" spans="1:39" x14ac:dyDescent="0.35">
      <c r="A790">
        <v>2016</v>
      </c>
      <c r="B790" t="s">
        <v>105</v>
      </c>
      <c r="C790">
        <v>102</v>
      </c>
      <c r="D790" t="s">
        <v>299</v>
      </c>
      <c r="E790">
        <v>676699.32770108187</v>
      </c>
      <c r="F790">
        <v>2950800</v>
      </c>
      <c r="G790">
        <v>3627499.327701082</v>
      </c>
      <c r="H790">
        <v>33935615078.983299</v>
      </c>
      <c r="I790">
        <v>29203988696.2626</v>
      </c>
      <c r="J790">
        <v>4.781000292544757E-2</v>
      </c>
      <c r="K790">
        <v>874.64837063921595</v>
      </c>
      <c r="L790">
        <v>1.3574331290959708E-2</v>
      </c>
      <c r="M790">
        <v>862.93461035581095</v>
      </c>
      <c r="N790">
        <v>5.7063750461621199</v>
      </c>
      <c r="O790">
        <v>31.209362023211899</v>
      </c>
      <c r="P790">
        <v>13.640088782026201</v>
      </c>
      <c r="Q790">
        <v>11.3130644156105</v>
      </c>
      <c r="R790">
        <v>38799152</v>
      </c>
      <c r="S790">
        <v>3.3777169150370601E-2</v>
      </c>
      <c r="U790">
        <v>5.26</v>
      </c>
      <c r="V790">
        <v>4.5404929999999997</v>
      </c>
      <c r="W790">
        <v>10.0059</v>
      </c>
      <c r="X790">
        <v>50.513649999999998</v>
      </c>
      <c r="Y790">
        <v>5.9</v>
      </c>
      <c r="AF790">
        <v>0</v>
      </c>
      <c r="AJ790">
        <v>-0.27055713534355158</v>
      </c>
      <c r="AK790">
        <v>-0.27256032824516302</v>
      </c>
      <c r="AL790">
        <v>0.11762787500000001</v>
      </c>
      <c r="AM790">
        <f>VLOOKUP(D790,[1]Sheet1!$C$1:$D$191,2,FALSE)</f>
        <v>102</v>
      </c>
    </row>
    <row r="791" spans="1:39" x14ac:dyDescent="0.35">
      <c r="A791">
        <v>2017</v>
      </c>
      <c r="B791" t="s">
        <v>105</v>
      </c>
      <c r="C791">
        <v>102</v>
      </c>
      <c r="D791" t="s">
        <v>299</v>
      </c>
      <c r="E791">
        <v>1124259.6879350001</v>
      </c>
      <c r="F791">
        <v>4797959</v>
      </c>
      <c r="G791">
        <v>5922218.6879350003</v>
      </c>
      <c r="H791">
        <v>34998276801.874496</v>
      </c>
      <c r="I791">
        <v>30744473841.424</v>
      </c>
      <c r="J791">
        <v>3.1314055172358295E-2</v>
      </c>
      <c r="K791">
        <v>871.09388001715104</v>
      </c>
      <c r="L791">
        <v>-4.06390812740805E-3</v>
      </c>
      <c r="M791">
        <v>874.64837063921595</v>
      </c>
      <c r="N791">
        <v>5.2097170591420898</v>
      </c>
      <c r="O791">
        <v>36.837052933410099</v>
      </c>
      <c r="P791">
        <v>13.4819167027351</v>
      </c>
      <c r="Q791">
        <v>11.258044293070199</v>
      </c>
      <c r="R791">
        <v>40177388</v>
      </c>
      <c r="S791">
        <v>3.5522322755920023E-2</v>
      </c>
      <c r="T791">
        <v>76.097999999999999</v>
      </c>
      <c r="U791">
        <v>5.09</v>
      </c>
      <c r="V791">
        <v>4.1961425999999999</v>
      </c>
      <c r="W791">
        <v>10.68296</v>
      </c>
      <c r="X791">
        <v>53.16686</v>
      </c>
      <c r="AF791">
        <v>0</v>
      </c>
      <c r="AJ791">
        <v>-0.31918042898178101</v>
      </c>
      <c r="AK791">
        <v>-0.26393207907676702</v>
      </c>
      <c r="AL791">
        <v>6.3763175000000005E-2</v>
      </c>
      <c r="AM791">
        <f>VLOOKUP(D791,[1]Sheet1!$C$1:$D$191,2,FALSE)</f>
        <v>102</v>
      </c>
    </row>
    <row r="792" spans="1:39" x14ac:dyDescent="0.35">
      <c r="A792">
        <v>2018</v>
      </c>
      <c r="B792" t="s">
        <v>105</v>
      </c>
      <c r="C792">
        <v>102</v>
      </c>
      <c r="D792" t="s">
        <v>299</v>
      </c>
      <c r="E792">
        <v>795185.20759400004</v>
      </c>
      <c r="F792">
        <v>15974281</v>
      </c>
      <c r="G792">
        <v>16769466.207594</v>
      </c>
      <c r="H792">
        <v>37204541496.698502</v>
      </c>
      <c r="I792">
        <v>32927025619.679501</v>
      </c>
      <c r="J792">
        <v>6.3039237826298875E-2</v>
      </c>
      <c r="K792">
        <v>895.07512785437996</v>
      </c>
      <c r="L792">
        <v>2.7530038251166167E-2</v>
      </c>
      <c r="M792">
        <v>871.09388001715104</v>
      </c>
      <c r="N792">
        <v>2.6160119095227401</v>
      </c>
      <c r="O792">
        <v>36.638405599956698</v>
      </c>
      <c r="P792">
        <v>13.639229421465901</v>
      </c>
      <c r="Q792">
        <v>11.8357641142331</v>
      </c>
      <c r="R792">
        <v>41565831</v>
      </c>
      <c r="S792">
        <v>3.4557821429307453E-2</v>
      </c>
      <c r="U792">
        <v>5.2</v>
      </c>
      <c r="V792">
        <v>4.1453385999999997</v>
      </c>
      <c r="W792">
        <v>9.7396069999999995</v>
      </c>
      <c r="X792">
        <v>52.038780000000003</v>
      </c>
      <c r="AF792">
        <v>0</v>
      </c>
      <c r="AJ792">
        <v>-0.32118967175483698</v>
      </c>
      <c r="AK792">
        <v>-0.28641581535339361</v>
      </c>
      <c r="AL792">
        <v>1.4510024999999999E-2</v>
      </c>
      <c r="AM792">
        <f>VLOOKUP(D792,[1]Sheet1!$C$1:$D$191,2,FALSE)</f>
        <v>102</v>
      </c>
    </row>
    <row r="793" spans="1:39" x14ac:dyDescent="0.35">
      <c r="A793">
        <v>2019</v>
      </c>
      <c r="B793" t="s">
        <v>105</v>
      </c>
      <c r="C793">
        <v>102</v>
      </c>
      <c r="D793" t="s">
        <v>299</v>
      </c>
      <c r="E793">
        <v>66552.124264579994</v>
      </c>
      <c r="F793">
        <v>60344896.462156318</v>
      </c>
      <c r="G793">
        <v>60411448.586420901</v>
      </c>
      <c r="H793">
        <v>39600047064.279999</v>
      </c>
      <c r="I793">
        <v>35348155095.421501</v>
      </c>
      <c r="J793">
        <v>6.438745032764541E-2</v>
      </c>
      <c r="K793">
        <v>920.93910151567104</v>
      </c>
      <c r="L793">
        <v>2.8895869024190897E-2</v>
      </c>
      <c r="M793">
        <v>895.07512785437996</v>
      </c>
      <c r="N793">
        <v>2.8675880344690001</v>
      </c>
      <c r="O793">
        <v>39.361053964743498</v>
      </c>
      <c r="P793">
        <v>13.8050637116228</v>
      </c>
      <c r="Q793">
        <v>13.515073761718201</v>
      </c>
      <c r="R793">
        <v>42999637</v>
      </c>
      <c r="S793">
        <v>3.4494823404348632E-2</v>
      </c>
      <c r="T793">
        <v>74.349999999999994</v>
      </c>
      <c r="U793">
        <v>5.0199999999999996</v>
      </c>
      <c r="V793">
        <v>4.0448868999999998</v>
      </c>
      <c r="W793">
        <v>10.91215</v>
      </c>
      <c r="X793">
        <v>49.888190000000002</v>
      </c>
      <c r="AF793">
        <v>0</v>
      </c>
      <c r="AJ793">
        <v>-0.34543102979660029</v>
      </c>
      <c r="AK793">
        <v>-0.41451624035835272</v>
      </c>
      <c r="AL793">
        <v>6.8733125000000006E-2</v>
      </c>
      <c r="AM793">
        <f>VLOOKUP(D793,[1]Sheet1!$C$1:$D$191,2,FALSE)</f>
        <v>102</v>
      </c>
    </row>
    <row r="794" spans="1:39" x14ac:dyDescent="0.35">
      <c r="A794">
        <v>2020</v>
      </c>
      <c r="B794" t="s">
        <v>105</v>
      </c>
      <c r="C794">
        <v>102</v>
      </c>
      <c r="D794" t="s">
        <v>299</v>
      </c>
      <c r="E794">
        <v>1067738.1923839101</v>
      </c>
      <c r="F794">
        <v>115254055.71153291</v>
      </c>
      <c r="G794">
        <v>116321793.90391682</v>
      </c>
      <c r="H794">
        <v>40768765796.4748</v>
      </c>
      <c r="I794">
        <v>37600368241.665703</v>
      </c>
      <c r="J794">
        <v>2.951306422181018E-2</v>
      </c>
      <c r="K794">
        <v>917.03503176439995</v>
      </c>
      <c r="L794">
        <v>-4.2392268336156232E-3</v>
      </c>
      <c r="M794">
        <v>920.93910151567104</v>
      </c>
      <c r="N794">
        <v>3.3133228954450198</v>
      </c>
      <c r="O794">
        <v>37.000692391636903</v>
      </c>
      <c r="P794">
        <v>14.2204016385665</v>
      </c>
      <c r="Q794">
        <v>13.671729082513499</v>
      </c>
      <c r="R794">
        <v>44457152</v>
      </c>
      <c r="S794">
        <v>3.3895983819584335E-2</v>
      </c>
      <c r="U794">
        <v>4.9400000000000004</v>
      </c>
      <c r="V794">
        <v>3.9120596999999999</v>
      </c>
      <c r="W794">
        <v>8.6155980000000003</v>
      </c>
      <c r="X794">
        <v>63.553539999999998</v>
      </c>
      <c r="Y794">
        <v>7.4</v>
      </c>
      <c r="AF794">
        <v>0</v>
      </c>
      <c r="AJ794">
        <v>-0.34557420015335077</v>
      </c>
      <c r="AK794">
        <v>-0.48221445083618159</v>
      </c>
      <c r="AL794">
        <v>8.2914975000000002E-2</v>
      </c>
      <c r="AM794">
        <f>VLOOKUP(D794,[1]Sheet1!$C$1:$D$191,2,FALSE)</f>
        <v>102</v>
      </c>
    </row>
    <row r="795" spans="1:39" x14ac:dyDescent="0.35">
      <c r="A795">
        <v>2013</v>
      </c>
      <c r="B795" t="s">
        <v>106</v>
      </c>
      <c r="C795">
        <v>103</v>
      </c>
      <c r="D795" t="s">
        <v>300</v>
      </c>
      <c r="E795">
        <v>100000</v>
      </c>
      <c r="G795">
        <v>100000</v>
      </c>
      <c r="H795">
        <v>332876224059.31299</v>
      </c>
      <c r="I795">
        <v>400218529747.59698</v>
      </c>
      <c r="J795">
        <v>5.0555596542596996E-2</v>
      </c>
      <c r="K795">
        <v>43269.8404646118</v>
      </c>
      <c r="L795">
        <v>9.3716069717639447E-3</v>
      </c>
      <c r="M795">
        <v>42868.097503184697</v>
      </c>
      <c r="N795">
        <v>1.1011183637571</v>
      </c>
      <c r="O795">
        <v>161.10048245579901</v>
      </c>
      <c r="Q795">
        <v>3.90972548786486</v>
      </c>
      <c r="R795">
        <v>7693031</v>
      </c>
      <c r="S795">
        <v>4.080161289100593E-2</v>
      </c>
      <c r="U795">
        <v>2.52</v>
      </c>
      <c r="V795">
        <v>58.777307999999998</v>
      </c>
      <c r="W795">
        <v>3.1175320000000002</v>
      </c>
      <c r="X795">
        <v>63.425269999999998</v>
      </c>
      <c r="Y795">
        <v>88</v>
      </c>
      <c r="AA795">
        <v>2024</v>
      </c>
      <c r="AB795">
        <v>2024</v>
      </c>
      <c r="AC795">
        <v>0</v>
      </c>
      <c r="AD795">
        <v>0</v>
      </c>
      <c r="AE795">
        <v>0</v>
      </c>
      <c r="AF795">
        <v>1</v>
      </c>
      <c r="AJ795">
        <v>0.61342847347259521</v>
      </c>
      <c r="AK795">
        <v>0.77497303485870361</v>
      </c>
      <c r="AL795">
        <v>7.3570424999999995E-2</v>
      </c>
      <c r="AM795">
        <f>VLOOKUP(D795,[1]Sheet1!$C$1:$D$191,2,FALSE)</f>
        <v>103</v>
      </c>
    </row>
    <row r="796" spans="1:39" x14ac:dyDescent="0.35">
      <c r="A796">
        <v>2014</v>
      </c>
      <c r="B796" t="s">
        <v>106</v>
      </c>
      <c r="C796">
        <v>103</v>
      </c>
      <c r="D796" t="s">
        <v>300</v>
      </c>
      <c r="E796">
        <v>16649573.41674694</v>
      </c>
      <c r="F796">
        <v>500000</v>
      </c>
      <c r="G796">
        <v>17149573.416746944</v>
      </c>
      <c r="H796">
        <v>346742821770.78003</v>
      </c>
      <c r="I796">
        <v>414105366758.91101</v>
      </c>
      <c r="J796">
        <v>4.1656918425619499E-2</v>
      </c>
      <c r="K796">
        <v>43023.190416552497</v>
      </c>
      <c r="L796">
        <v>-5.7002763451606603E-3</v>
      </c>
      <c r="M796">
        <v>43269.8404646118</v>
      </c>
      <c r="N796">
        <v>2.3462686567164299</v>
      </c>
      <c r="O796">
        <v>163.68758499929501</v>
      </c>
      <c r="Q796">
        <v>3.79210885733765</v>
      </c>
      <c r="R796">
        <v>8059440</v>
      </c>
      <c r="S796">
        <v>4.7628691474140686E-2</v>
      </c>
      <c r="U796">
        <v>2.64</v>
      </c>
      <c r="V796">
        <v>61.115985000000002</v>
      </c>
      <c r="W796">
        <v>3.148504</v>
      </c>
      <c r="X796">
        <v>63.087670000000003</v>
      </c>
      <c r="Y796">
        <v>90.4</v>
      </c>
      <c r="AA796">
        <v>2024</v>
      </c>
      <c r="AB796">
        <v>2024</v>
      </c>
      <c r="AC796">
        <v>0</v>
      </c>
      <c r="AD796">
        <v>0</v>
      </c>
      <c r="AE796">
        <v>0</v>
      </c>
      <c r="AF796">
        <v>1</v>
      </c>
      <c r="AJ796">
        <v>0.65100246667861938</v>
      </c>
      <c r="AK796">
        <v>0.9875151515007019</v>
      </c>
      <c r="AL796">
        <v>7.0289825E-2</v>
      </c>
      <c r="AM796">
        <f>VLOOKUP(D796,[1]Sheet1!$C$1:$D$191,2,FALSE)</f>
        <v>103</v>
      </c>
    </row>
    <row r="797" spans="1:39" x14ac:dyDescent="0.35">
      <c r="A797">
        <v>2015</v>
      </c>
      <c r="B797" t="s">
        <v>106</v>
      </c>
      <c r="C797">
        <v>103</v>
      </c>
      <c r="D797" t="s">
        <v>300</v>
      </c>
      <c r="E797">
        <v>11585249.793540301</v>
      </c>
      <c r="F797">
        <v>6850000</v>
      </c>
      <c r="G797">
        <v>18435249.793540295</v>
      </c>
      <c r="H797">
        <v>370275469560.16602</v>
      </c>
      <c r="I797">
        <v>370275469560.16602</v>
      </c>
      <c r="J797">
        <v>6.7867728794520299E-2</v>
      </c>
      <c r="K797">
        <v>43534.997268173298</v>
      </c>
      <c r="L797">
        <v>1.1896069228373421E-2</v>
      </c>
      <c r="M797">
        <v>43023.190416552497</v>
      </c>
      <c r="N797">
        <v>4.0699660836159302</v>
      </c>
      <c r="O797">
        <v>169.47623670322</v>
      </c>
      <c r="Q797">
        <v>4.1478985916510203</v>
      </c>
      <c r="R797">
        <v>8505237</v>
      </c>
      <c r="S797">
        <v>5.5313644620469907E-2</v>
      </c>
      <c r="U797">
        <v>2.75</v>
      </c>
      <c r="V797">
        <v>64.382568000000006</v>
      </c>
      <c r="W797">
        <v>2.9940310000000001</v>
      </c>
      <c r="X797">
        <v>54.027099999999997</v>
      </c>
      <c r="Y797">
        <v>90.5</v>
      </c>
      <c r="AA797">
        <v>2024</v>
      </c>
      <c r="AB797">
        <v>2024</v>
      </c>
      <c r="AC797">
        <v>0</v>
      </c>
      <c r="AD797">
        <v>0</v>
      </c>
      <c r="AE797">
        <v>0</v>
      </c>
      <c r="AF797">
        <v>1</v>
      </c>
      <c r="AJ797">
        <v>0.61416161060333252</v>
      </c>
      <c r="AK797">
        <v>1.096596956253052</v>
      </c>
      <c r="AL797">
        <v>1.8562450000000001E-2</v>
      </c>
      <c r="AM797">
        <f>VLOOKUP(D797,[1]Sheet1!$C$1:$D$191,2,FALSE)</f>
        <v>103</v>
      </c>
    </row>
    <row r="798" spans="1:39" x14ac:dyDescent="0.35">
      <c r="A798">
        <v>2016</v>
      </c>
      <c r="B798" t="s">
        <v>106</v>
      </c>
      <c r="C798">
        <v>103</v>
      </c>
      <c r="D798" t="s">
        <v>300</v>
      </c>
      <c r="E798">
        <v>13696522.40935</v>
      </c>
      <c r="F798">
        <v>12461856</v>
      </c>
      <c r="G798">
        <v>26158378.40935</v>
      </c>
      <c r="H798">
        <v>390868305567.66901</v>
      </c>
      <c r="I798">
        <v>369255326235.771</v>
      </c>
      <c r="J798">
        <v>5.5614907549680015E-2</v>
      </c>
      <c r="K798">
        <v>43745.288166233098</v>
      </c>
      <c r="L798">
        <v>4.8303873034473734E-3</v>
      </c>
      <c r="M798">
        <v>43534.997268173298</v>
      </c>
      <c r="N798">
        <v>1.61748808904198</v>
      </c>
      <c r="O798">
        <v>170.97682916808699</v>
      </c>
      <c r="P798">
        <v>84.705207087022103</v>
      </c>
      <c r="Q798">
        <v>4.3182811248208397</v>
      </c>
      <c r="R798">
        <v>8935095</v>
      </c>
      <c r="S798">
        <v>5.0540390585235899E-2</v>
      </c>
      <c r="U798">
        <v>2.75</v>
      </c>
      <c r="V798">
        <v>65.420143999999993</v>
      </c>
      <c r="W798">
        <v>2.7679900000000002</v>
      </c>
      <c r="X798">
        <v>55.110860000000002</v>
      </c>
      <c r="Y798">
        <v>90.6</v>
      </c>
      <c r="AA798">
        <v>2024</v>
      </c>
      <c r="AB798">
        <v>2024</v>
      </c>
      <c r="AC798">
        <v>0</v>
      </c>
      <c r="AD798">
        <v>0</v>
      </c>
      <c r="AE798">
        <v>0</v>
      </c>
      <c r="AF798">
        <v>1</v>
      </c>
      <c r="AI798">
        <v>1</v>
      </c>
      <c r="AJ798">
        <v>0.81903797388076782</v>
      </c>
      <c r="AK798">
        <v>0.95991837978363037</v>
      </c>
      <c r="AL798">
        <v>3.3064925000000002E-2</v>
      </c>
      <c r="AM798">
        <f>VLOOKUP(D798,[1]Sheet1!$C$1:$D$191,2,FALSE)</f>
        <v>103</v>
      </c>
    </row>
    <row r="799" spans="1:39" x14ac:dyDescent="0.35">
      <c r="A799">
        <v>2017</v>
      </c>
      <c r="B799" t="s">
        <v>106</v>
      </c>
      <c r="C799">
        <v>103</v>
      </c>
      <c r="D799" t="s">
        <v>300</v>
      </c>
      <c r="E799">
        <v>6572530.7625000002</v>
      </c>
      <c r="F799">
        <v>25859190</v>
      </c>
      <c r="G799">
        <v>32431720.762499999</v>
      </c>
      <c r="H799">
        <v>393741456191.578</v>
      </c>
      <c r="I799">
        <v>390516804016.50098</v>
      </c>
      <c r="J799">
        <v>7.3506871316573992E-3</v>
      </c>
      <c r="K799">
        <v>42690.214777540103</v>
      </c>
      <c r="L799">
        <v>-2.4118560716383731E-2</v>
      </c>
      <c r="M799">
        <v>43745.288166233098</v>
      </c>
      <c r="N799">
        <v>1.9668255781884201</v>
      </c>
      <c r="O799">
        <v>170.920806880828</v>
      </c>
      <c r="P799">
        <v>80.720040752944797</v>
      </c>
      <c r="Q799">
        <v>4.0152873401995697</v>
      </c>
      <c r="R799">
        <v>9223225</v>
      </c>
      <c r="S799">
        <v>3.2246999052612198E-2</v>
      </c>
      <c r="T799">
        <v>80.546999999999997</v>
      </c>
      <c r="U799">
        <v>2.69</v>
      </c>
      <c r="V799">
        <v>65.366873999999996</v>
      </c>
      <c r="W799">
        <v>2.6879849999999998</v>
      </c>
      <c r="X799">
        <v>65.638729999999995</v>
      </c>
      <c r="Y799">
        <v>94.819900000000004</v>
      </c>
      <c r="AA799">
        <v>2024</v>
      </c>
      <c r="AB799">
        <v>2024</v>
      </c>
      <c r="AC799">
        <v>0</v>
      </c>
      <c r="AD799">
        <v>0</v>
      </c>
      <c r="AE799">
        <v>0</v>
      </c>
      <c r="AF799">
        <v>1</v>
      </c>
      <c r="AI799">
        <v>1</v>
      </c>
      <c r="AJ799">
        <v>0.76833498477935791</v>
      </c>
      <c r="AK799">
        <v>1.0009546279907231</v>
      </c>
      <c r="AL799">
        <v>9.5422450000000006E-2</v>
      </c>
      <c r="AM799">
        <f>VLOOKUP(D799,[1]Sheet1!$C$1:$D$191,2,FALSE)</f>
        <v>103</v>
      </c>
    </row>
    <row r="800" spans="1:39" x14ac:dyDescent="0.35">
      <c r="A800">
        <v>2018</v>
      </c>
      <c r="B800" t="s">
        <v>106</v>
      </c>
      <c r="C800">
        <v>103</v>
      </c>
      <c r="D800" t="s">
        <v>300</v>
      </c>
      <c r="E800">
        <v>6548659.6514079999</v>
      </c>
      <c r="F800">
        <v>44099154</v>
      </c>
      <c r="G800">
        <v>50647813.651408002</v>
      </c>
      <c r="H800">
        <v>398914879841.349</v>
      </c>
      <c r="I800">
        <v>427049432149.34497</v>
      </c>
      <c r="J800">
        <v>1.3139138814110106E-2</v>
      </c>
      <c r="K800">
        <v>42679.751908331004</v>
      </c>
      <c r="L800">
        <v>-2.4508823072503746E-4</v>
      </c>
      <c r="M800">
        <v>42690.214777540103</v>
      </c>
      <c r="N800">
        <v>3.0686337925199698</v>
      </c>
      <c r="O800">
        <v>159.642777284235</v>
      </c>
      <c r="P800">
        <v>76.324950779097193</v>
      </c>
      <c r="Q800">
        <v>3.9182499133681201</v>
      </c>
      <c r="R800">
        <v>9346701</v>
      </c>
      <c r="S800">
        <v>1.3387508165527785E-2</v>
      </c>
      <c r="T800">
        <v>81.819999999999993</v>
      </c>
      <c r="U800">
        <v>2.76</v>
      </c>
      <c r="V800">
        <v>64.478029000000006</v>
      </c>
      <c r="W800">
        <v>2.9053589999999998</v>
      </c>
      <c r="X800">
        <v>66.153589999999994</v>
      </c>
      <c r="Y800">
        <v>98.45</v>
      </c>
      <c r="Z800">
        <v>53.211328168010198</v>
      </c>
      <c r="AA800">
        <v>2024</v>
      </c>
      <c r="AB800">
        <v>2024</v>
      </c>
      <c r="AC800">
        <v>0</v>
      </c>
      <c r="AD800">
        <v>0</v>
      </c>
      <c r="AE800">
        <v>0</v>
      </c>
      <c r="AF800">
        <v>1</v>
      </c>
      <c r="AI800">
        <v>1</v>
      </c>
      <c r="AJ800">
        <v>0.77424514293670654</v>
      </c>
      <c r="AK800">
        <v>0.91985476016998291</v>
      </c>
      <c r="AL800">
        <v>8.6291375000000003E-2</v>
      </c>
      <c r="AM800">
        <f>VLOOKUP(D800,[1]Sheet1!$C$1:$D$191,2,FALSE)</f>
        <v>103</v>
      </c>
    </row>
    <row r="801" spans="1:39" x14ac:dyDescent="0.35">
      <c r="A801">
        <v>2019</v>
      </c>
      <c r="B801" t="s">
        <v>106</v>
      </c>
      <c r="C801">
        <v>103</v>
      </c>
      <c r="D801" t="s">
        <v>300</v>
      </c>
      <c r="E801">
        <v>9399981.7093831804</v>
      </c>
      <c r="F801">
        <v>81444249.587090895</v>
      </c>
      <c r="G801">
        <v>90844231.296474069</v>
      </c>
      <c r="H801">
        <v>403336245487.98999</v>
      </c>
      <c r="I801">
        <v>417989721734.49402</v>
      </c>
      <c r="J801">
        <v>1.1083481389311416E-2</v>
      </c>
      <c r="K801">
        <v>42700.129792070198</v>
      </c>
      <c r="L801">
        <v>4.7746022008194792E-4</v>
      </c>
      <c r="M801">
        <v>42679.751908331004</v>
      </c>
      <c r="N801">
        <v>-1.93108114782173</v>
      </c>
      <c r="O801">
        <v>170.06811882535001</v>
      </c>
      <c r="P801">
        <v>78.158986037945496</v>
      </c>
      <c r="Q801">
        <v>4.2593237217491096</v>
      </c>
      <c r="R801">
        <v>9445785</v>
      </c>
      <c r="S801">
        <v>1.060095963270891E-2</v>
      </c>
      <c r="U801">
        <v>2.76</v>
      </c>
      <c r="V801">
        <v>60.914247000000003</v>
      </c>
      <c r="W801">
        <v>2.7146219999999999</v>
      </c>
      <c r="X801">
        <v>71.771770000000004</v>
      </c>
      <c r="Y801">
        <v>99.15</v>
      </c>
      <c r="Z801">
        <v>53.8814655213653</v>
      </c>
      <c r="AA801">
        <v>2024</v>
      </c>
      <c r="AB801">
        <v>2024</v>
      </c>
      <c r="AC801">
        <v>0</v>
      </c>
      <c r="AD801">
        <v>0</v>
      </c>
      <c r="AE801">
        <v>0</v>
      </c>
      <c r="AF801">
        <v>1</v>
      </c>
      <c r="AI801">
        <v>1</v>
      </c>
      <c r="AJ801">
        <v>0.80827748775482178</v>
      </c>
      <c r="AK801">
        <v>0.96813791990280151</v>
      </c>
      <c r="AL801">
        <v>4.4216575000000001E-2</v>
      </c>
      <c r="AM801">
        <f>VLOOKUP(D801,[1]Sheet1!$C$1:$D$191,2,FALSE)</f>
        <v>103</v>
      </c>
    </row>
    <row r="802" spans="1:39" x14ac:dyDescent="0.35">
      <c r="A802">
        <v>2020</v>
      </c>
      <c r="B802" t="s">
        <v>106</v>
      </c>
      <c r="C802">
        <v>103</v>
      </c>
      <c r="D802" t="s">
        <v>300</v>
      </c>
      <c r="E802">
        <v>863237.21853398997</v>
      </c>
      <c r="F802">
        <v>68131924.871535003</v>
      </c>
      <c r="G802">
        <v>68995162.090068981</v>
      </c>
      <c r="H802">
        <v>383342656303.62903</v>
      </c>
      <c r="I802">
        <v>349473015336.93903</v>
      </c>
      <c r="J802">
        <v>-4.9570524365275037E-2</v>
      </c>
      <c r="K802">
        <v>40776.630868168897</v>
      </c>
      <c r="L802">
        <v>-4.5046676281028833E-2</v>
      </c>
      <c r="M802">
        <v>42700.129792070198</v>
      </c>
      <c r="N802">
        <v>-2.0794031794094399</v>
      </c>
      <c r="O802">
        <v>185.28055243871</v>
      </c>
      <c r="P802">
        <v>90.790166960080001</v>
      </c>
      <c r="Q802">
        <v>5.2591716474315398</v>
      </c>
      <c r="R802">
        <v>9401038</v>
      </c>
      <c r="S802">
        <v>-4.7372452368966691E-3</v>
      </c>
      <c r="U802">
        <v>2.7</v>
      </c>
      <c r="V802">
        <v>52.485227000000002</v>
      </c>
      <c r="W802">
        <v>2.3177479999999999</v>
      </c>
      <c r="X802">
        <v>72.783929999999998</v>
      </c>
      <c r="Y802">
        <v>100</v>
      </c>
      <c r="Z802">
        <v>54.974699807469896</v>
      </c>
      <c r="AA802">
        <v>2024</v>
      </c>
      <c r="AB802">
        <v>2024</v>
      </c>
      <c r="AC802">
        <v>0</v>
      </c>
      <c r="AD802">
        <v>0</v>
      </c>
      <c r="AE802">
        <v>0</v>
      </c>
      <c r="AF802">
        <v>1</v>
      </c>
      <c r="AI802">
        <v>1</v>
      </c>
      <c r="AJ802">
        <v>0.87513595819473267</v>
      </c>
      <c r="AK802">
        <v>1.0743310451507571</v>
      </c>
      <c r="AL802">
        <v>3.8604399999999997E-2</v>
      </c>
      <c r="AM802">
        <f>VLOOKUP(D802,[1]Sheet1!$C$1:$D$191,2,FALSE)</f>
        <v>103</v>
      </c>
    </row>
    <row r="803" spans="1:39" x14ac:dyDescent="0.35">
      <c r="A803">
        <v>2013</v>
      </c>
      <c r="B803" t="s">
        <v>107</v>
      </c>
      <c r="C803">
        <v>104</v>
      </c>
      <c r="D803" t="s">
        <v>357</v>
      </c>
      <c r="E803">
        <v>5205</v>
      </c>
      <c r="G803">
        <v>5205</v>
      </c>
      <c r="H803">
        <v>706053811.58380604</v>
      </c>
      <c r="I803">
        <v>758304466.24533904</v>
      </c>
      <c r="J803">
        <v>4.6339041513514439E-3</v>
      </c>
      <c r="K803">
        <v>2774.4744680716299</v>
      </c>
      <c r="L803">
        <v>-1.7469605053007459E-2</v>
      </c>
      <c r="M803">
        <v>2823.8052301896601</v>
      </c>
      <c r="N803">
        <v>1.4589337175792101</v>
      </c>
      <c r="O803">
        <v>106.410757127713</v>
      </c>
      <c r="P803">
        <v>72.620012079451001</v>
      </c>
      <c r="Q803">
        <v>21.891019918540401</v>
      </c>
      <c r="R803">
        <v>254482</v>
      </c>
      <c r="S803">
        <v>2.2496514426457413E-2</v>
      </c>
      <c r="V803">
        <v>36.109544999999997</v>
      </c>
      <c r="W803">
        <v>0</v>
      </c>
      <c r="X803">
        <v>0</v>
      </c>
      <c r="Y803">
        <v>11.3</v>
      </c>
      <c r="AJ803">
        <v>0.36686336994171143</v>
      </c>
      <c r="AK803">
        <v>-0.5371551513671875</v>
      </c>
      <c r="AM803">
        <f>VLOOKUP(D803,[1]Sheet1!$C$1:$D$191,2,FALSE)</f>
        <v>104</v>
      </c>
    </row>
    <row r="804" spans="1:39" x14ac:dyDescent="0.35">
      <c r="A804">
        <v>2015</v>
      </c>
      <c r="B804" t="s">
        <v>107</v>
      </c>
      <c r="C804">
        <v>104</v>
      </c>
      <c r="D804" t="s">
        <v>357</v>
      </c>
      <c r="E804">
        <v>5535</v>
      </c>
      <c r="G804">
        <v>5535</v>
      </c>
      <c r="H804">
        <v>730870802.96705103</v>
      </c>
      <c r="I804">
        <v>730870802.96705103</v>
      </c>
      <c r="J804">
        <v>3.6652207538927679E-3</v>
      </c>
      <c r="K804">
        <v>2746.5917188099702</v>
      </c>
      <c r="L804">
        <v>-1.8440978992963507E-2</v>
      </c>
      <c r="M804">
        <v>2798.19313971776</v>
      </c>
      <c r="N804">
        <v>2.4832687566043901</v>
      </c>
      <c r="O804">
        <v>113.047189826381</v>
      </c>
      <c r="P804">
        <v>72.502719270120593</v>
      </c>
      <c r="Q804">
        <v>24.0431964548</v>
      </c>
      <c r="R804">
        <v>266101</v>
      </c>
      <c r="S804">
        <v>2.2521518598217029E-2</v>
      </c>
      <c r="V804">
        <v>40.558619</v>
      </c>
      <c r="W804">
        <v>0</v>
      </c>
      <c r="X804">
        <v>0</v>
      </c>
      <c r="Y804">
        <v>22.351400000000002</v>
      </c>
      <c r="AJ804">
        <v>0.12457961589097979</v>
      </c>
      <c r="AK804">
        <v>-0.33227396011352539</v>
      </c>
      <c r="AM804">
        <f>VLOOKUP(D804,[1]Sheet1!$C$1:$D$191,2,FALSE)</f>
        <v>104</v>
      </c>
    </row>
    <row r="805" spans="1:39" x14ac:dyDescent="0.35">
      <c r="A805">
        <v>2016</v>
      </c>
      <c r="B805" t="s">
        <v>107</v>
      </c>
      <c r="C805">
        <v>104</v>
      </c>
      <c r="D805" t="s">
        <v>357</v>
      </c>
      <c r="E805">
        <v>8517.6132232273303</v>
      </c>
      <c r="G805">
        <v>8517.6132232273303</v>
      </c>
      <c r="H805">
        <v>765139554.26537502</v>
      </c>
      <c r="I805">
        <v>780889605.89997697</v>
      </c>
      <c r="J805">
        <v>4.6887563655855717E-2</v>
      </c>
      <c r="K805">
        <v>2812.11360434484</v>
      </c>
      <c r="L805">
        <v>2.3855706360047885E-2</v>
      </c>
      <c r="M805">
        <v>2746.5917188099702</v>
      </c>
      <c r="N805">
        <v>0.84206908403506098</v>
      </c>
      <c r="O805">
        <v>109.54348519012601</v>
      </c>
      <c r="P805">
        <v>69.134053753526899</v>
      </c>
      <c r="Q805">
        <v>25.557313864261499</v>
      </c>
      <c r="R805">
        <v>272087</v>
      </c>
      <c r="S805">
        <v>2.2495217981142498E-2</v>
      </c>
      <c r="V805">
        <v>41.159765</v>
      </c>
      <c r="W805">
        <v>0</v>
      </c>
      <c r="X805">
        <v>0</v>
      </c>
      <c r="Y805">
        <v>24</v>
      </c>
      <c r="AJ805">
        <v>0.40348619222640991</v>
      </c>
      <c r="AK805">
        <v>-0.29666852951049799</v>
      </c>
      <c r="AM805">
        <f>VLOOKUP(D805,[1]Sheet1!$C$1:$D$191,2,FALSE)</f>
        <v>104</v>
      </c>
    </row>
    <row r="806" spans="1:39" x14ac:dyDescent="0.35">
      <c r="A806">
        <v>2017</v>
      </c>
      <c r="B806" t="s">
        <v>107</v>
      </c>
      <c r="C806">
        <v>104</v>
      </c>
      <c r="D806" t="s">
        <v>357</v>
      </c>
      <c r="E806">
        <v>15134</v>
      </c>
      <c r="G806">
        <v>15134</v>
      </c>
      <c r="H806">
        <v>813475756.52539098</v>
      </c>
      <c r="I806">
        <v>880061833.690341</v>
      </c>
      <c r="J806">
        <v>6.3173053844307478E-2</v>
      </c>
      <c r="K806">
        <v>2920.84492140374</v>
      </c>
      <c r="L806">
        <v>3.8665335885045789E-2</v>
      </c>
      <c r="M806">
        <v>2812.11360434484</v>
      </c>
      <c r="N806">
        <v>3.0845262440354602</v>
      </c>
      <c r="O806">
        <v>105.52434950310401</v>
      </c>
      <c r="P806">
        <v>64.483864101213001</v>
      </c>
      <c r="Q806">
        <v>26.9289380223208</v>
      </c>
      <c r="R806">
        <v>278507</v>
      </c>
      <c r="S806">
        <v>2.3595394120263003E-2</v>
      </c>
      <c r="V806">
        <v>49.270397000000003</v>
      </c>
      <c r="W806">
        <v>0</v>
      </c>
      <c r="X806">
        <v>0</v>
      </c>
      <c r="Y806">
        <v>30.8</v>
      </c>
      <c r="AJ806">
        <v>0.53204655647277832</v>
      </c>
      <c r="AK806">
        <v>-0.31760475039482122</v>
      </c>
      <c r="AM806">
        <f>VLOOKUP(D806,[1]Sheet1!$C$1:$D$191,2,FALSE)</f>
        <v>104</v>
      </c>
    </row>
    <row r="807" spans="1:39" x14ac:dyDescent="0.35">
      <c r="A807">
        <v>2018</v>
      </c>
      <c r="B807" t="s">
        <v>107</v>
      </c>
      <c r="C807">
        <v>104</v>
      </c>
      <c r="D807" t="s">
        <v>357</v>
      </c>
      <c r="E807">
        <v>6099.57</v>
      </c>
      <c r="G807">
        <v>6099.57</v>
      </c>
      <c r="H807">
        <v>837068426.67611396</v>
      </c>
      <c r="I807">
        <v>914736985.43094397</v>
      </c>
      <c r="J807">
        <v>2.9002302725645621E-2</v>
      </c>
      <c r="K807">
        <v>2934.4154844408499</v>
      </c>
      <c r="L807">
        <v>4.6461087124707564E-3</v>
      </c>
      <c r="M807">
        <v>2920.84492140374</v>
      </c>
      <c r="N807">
        <v>2.33096379566866</v>
      </c>
      <c r="O807">
        <v>98.340808954868393</v>
      </c>
      <c r="P807">
        <v>61.498524961298799</v>
      </c>
      <c r="Q807">
        <v>25.6215122558846</v>
      </c>
      <c r="R807">
        <v>285259</v>
      </c>
      <c r="S807">
        <v>2.4243555817268506E-2</v>
      </c>
      <c r="V807">
        <v>48.051135000000002</v>
      </c>
      <c r="W807">
        <v>0</v>
      </c>
      <c r="X807">
        <v>0</v>
      </c>
      <c r="Y807">
        <v>33.988999999999997</v>
      </c>
      <c r="AJ807">
        <v>0.39135709404945368</v>
      </c>
      <c r="AK807">
        <v>-0.43442320823669428</v>
      </c>
      <c r="AM807">
        <f>VLOOKUP(D807,[1]Sheet1!$C$1:$D$191,2,FALSE)</f>
        <v>104</v>
      </c>
    </row>
    <row r="808" spans="1:39" x14ac:dyDescent="0.35">
      <c r="A808">
        <v>2019</v>
      </c>
      <c r="B808" t="s">
        <v>107</v>
      </c>
      <c r="C808">
        <v>104</v>
      </c>
      <c r="D808" t="s">
        <v>357</v>
      </c>
      <c r="E808">
        <v>1820.7752517399999</v>
      </c>
      <c r="G808">
        <v>1820.7752517399999</v>
      </c>
      <c r="H808">
        <v>864199385.18882799</v>
      </c>
      <c r="I808">
        <v>936526267.62251306</v>
      </c>
      <c r="J808">
        <v>3.241187655404399E-2</v>
      </c>
      <c r="K808">
        <v>2959.7389769639799</v>
      </c>
      <c r="L808">
        <v>8.6298251414643617E-3</v>
      </c>
      <c r="M808">
        <v>2934.4154844408499</v>
      </c>
      <c r="N808">
        <v>2.7625201938611101</v>
      </c>
      <c r="O808">
        <v>99.382968822708193</v>
      </c>
      <c r="P808">
        <v>59.087294783620301</v>
      </c>
      <c r="Q808">
        <v>27.840880602140501</v>
      </c>
      <c r="R808">
        <v>291985</v>
      </c>
      <c r="S808">
        <v>2.3578572455207374E-2</v>
      </c>
      <c r="T808">
        <v>59.061999999999998</v>
      </c>
      <c r="V808">
        <v>47.879170000000002</v>
      </c>
      <c r="W808">
        <v>0</v>
      </c>
      <c r="X808">
        <v>0</v>
      </c>
      <c r="Y808">
        <v>37.508099999999999</v>
      </c>
      <c r="AJ808">
        <v>0.2100788801908493</v>
      </c>
      <c r="AK808">
        <v>-0.42586252093315119</v>
      </c>
      <c r="AM808">
        <f>VLOOKUP(D808,[1]Sheet1!$C$1:$D$191,2,FALSE)</f>
        <v>104</v>
      </c>
    </row>
    <row r="809" spans="1:39" x14ac:dyDescent="0.35">
      <c r="A809">
        <v>2020</v>
      </c>
      <c r="B809" t="s">
        <v>107</v>
      </c>
      <c r="C809">
        <v>104</v>
      </c>
      <c r="D809" t="s">
        <v>357</v>
      </c>
      <c r="E809">
        <v>1241.02</v>
      </c>
      <c r="F809">
        <v>54700</v>
      </c>
      <c r="G809">
        <v>55941.02</v>
      </c>
      <c r="H809">
        <v>821054304.95471001</v>
      </c>
      <c r="I809">
        <v>909421043.508407</v>
      </c>
      <c r="J809">
        <v>-4.9924914288952849E-2</v>
      </c>
      <c r="K809">
        <v>2747.3057604437899</v>
      </c>
      <c r="L809">
        <v>-7.1774307860789185E-2</v>
      </c>
      <c r="M809">
        <v>2959.7389769639799</v>
      </c>
      <c r="N809">
        <v>5.3293507310171497</v>
      </c>
      <c r="O809">
        <v>62.9663867948803</v>
      </c>
      <c r="P809">
        <v>60.211453968874203</v>
      </c>
      <c r="Q809">
        <v>34.039588674246403</v>
      </c>
      <c r="R809">
        <v>298858</v>
      </c>
      <c r="S809">
        <v>2.3538880421939481E-2</v>
      </c>
      <c r="T809">
        <v>46.604999999999997</v>
      </c>
      <c r="V809">
        <v>47.575499999999998</v>
      </c>
      <c r="W809">
        <v>0</v>
      </c>
      <c r="X809">
        <v>0</v>
      </c>
      <c r="Y809">
        <v>41.391599999999997</v>
      </c>
      <c r="AJ809">
        <v>0.29890304803848272</v>
      </c>
      <c r="AK809">
        <v>-0.37900027632713318</v>
      </c>
      <c r="AM809">
        <f>VLOOKUP(D809,[1]Sheet1!$C$1:$D$191,2,FALSE)</f>
        <v>104</v>
      </c>
    </row>
    <row r="810" spans="1:39" x14ac:dyDescent="0.35">
      <c r="A810">
        <v>2013</v>
      </c>
      <c r="B810" t="s">
        <v>108</v>
      </c>
      <c r="C810">
        <v>105</v>
      </c>
      <c r="D810" t="s">
        <v>301</v>
      </c>
      <c r="E810">
        <v>4656.5</v>
      </c>
      <c r="G810">
        <v>4656.5</v>
      </c>
      <c r="H810">
        <v>210137237901.38901</v>
      </c>
      <c r="I810">
        <v>213708811665.34</v>
      </c>
      <c r="J810">
        <v>5.5535108102610552E-2</v>
      </c>
      <c r="K810">
        <v>2320.0843144493401</v>
      </c>
      <c r="L810">
        <v>4.3149888036991428E-2</v>
      </c>
      <c r="M810">
        <v>2224.1140425325598</v>
      </c>
      <c r="N810">
        <v>6.5926747589919197</v>
      </c>
      <c r="O810">
        <v>130.84635486674301</v>
      </c>
      <c r="P810">
        <v>77.558110821047507</v>
      </c>
      <c r="R810">
        <v>90573104</v>
      </c>
      <c r="S810">
        <v>1.1872905521680643E-2</v>
      </c>
      <c r="T810">
        <v>79.588999999999999</v>
      </c>
      <c r="U810">
        <v>3.29</v>
      </c>
      <c r="V810">
        <v>72.265653999999998</v>
      </c>
      <c r="W810">
        <v>3.1109810000000002</v>
      </c>
      <c r="X810">
        <v>53.174999999999997</v>
      </c>
      <c r="Y810">
        <v>38.5</v>
      </c>
      <c r="Z810">
        <v>25.624941276959198</v>
      </c>
      <c r="AJ810">
        <v>-0.51520979404449463</v>
      </c>
      <c r="AK810">
        <v>-0.65251749753952026</v>
      </c>
      <c r="AL810">
        <v>5.9224600000000002E-2</v>
      </c>
      <c r="AM810">
        <f>VLOOKUP(D810,[1]Sheet1!$C$1:$D$191,2,FALSE)</f>
        <v>105</v>
      </c>
    </row>
    <row r="811" spans="1:39" x14ac:dyDescent="0.35">
      <c r="A811">
        <v>2014</v>
      </c>
      <c r="B811" t="s">
        <v>108</v>
      </c>
      <c r="C811">
        <v>105</v>
      </c>
      <c r="D811" t="s">
        <v>301</v>
      </c>
      <c r="E811">
        <v>12378</v>
      </c>
      <c r="G811">
        <v>12378</v>
      </c>
      <c r="H811">
        <v>223632762207.56</v>
      </c>
      <c r="I811">
        <v>233451469642.51901</v>
      </c>
      <c r="J811">
        <v>6.422243121185417E-2</v>
      </c>
      <c r="K811">
        <v>2439.2865574442299</v>
      </c>
      <c r="L811">
        <v>5.137840993644309E-2</v>
      </c>
      <c r="M811">
        <v>2320.0843144493401</v>
      </c>
      <c r="N811">
        <v>4.0845544663761704</v>
      </c>
      <c r="O811">
        <v>135.41052145436001</v>
      </c>
      <c r="P811">
        <v>80.001031490241502</v>
      </c>
      <c r="R811">
        <v>91679578</v>
      </c>
      <c r="S811">
        <v>1.2216363921898933E-2</v>
      </c>
      <c r="T811">
        <v>79.691000000000003</v>
      </c>
      <c r="U811">
        <v>3.41</v>
      </c>
      <c r="V811">
        <v>74.850873000000007</v>
      </c>
      <c r="W811">
        <v>2.704529</v>
      </c>
      <c r="X811">
        <v>46.253129999999999</v>
      </c>
      <c r="Y811">
        <v>41</v>
      </c>
      <c r="Z811">
        <v>31.330638929388702</v>
      </c>
      <c r="AJ811">
        <v>-0.36022844910621643</v>
      </c>
      <c r="AK811">
        <v>-0.60205823183059692</v>
      </c>
      <c r="AL811">
        <v>8.6041624999999997E-2</v>
      </c>
      <c r="AM811">
        <f>VLOOKUP(D811,[1]Sheet1!$C$1:$D$191,2,FALSE)</f>
        <v>105</v>
      </c>
    </row>
    <row r="812" spans="1:39" x14ac:dyDescent="0.35">
      <c r="A812">
        <v>2015</v>
      </c>
      <c r="B812" t="s">
        <v>108</v>
      </c>
      <c r="C812">
        <v>105</v>
      </c>
      <c r="D812" t="s">
        <v>301</v>
      </c>
      <c r="E812">
        <v>32181.17</v>
      </c>
      <c r="G812">
        <v>32181.17</v>
      </c>
      <c r="H812">
        <v>239258328381.741</v>
      </c>
      <c r="I812">
        <v>239258328381.741</v>
      </c>
      <c r="J812">
        <v>6.9871543059860181E-2</v>
      </c>
      <c r="K812">
        <v>2577.5688534011301</v>
      </c>
      <c r="L812">
        <v>5.6689647854160266E-2</v>
      </c>
      <c r="M812">
        <v>2439.2865574442299</v>
      </c>
      <c r="N812">
        <v>0.631200905175754</v>
      </c>
      <c r="O812">
        <v>144.914228195237</v>
      </c>
      <c r="P812">
        <v>90.399227327708999</v>
      </c>
      <c r="R812">
        <v>92823254</v>
      </c>
      <c r="S812">
        <v>1.2474708380529413E-2</v>
      </c>
      <c r="T812">
        <v>79.902000000000001</v>
      </c>
      <c r="U812">
        <v>3.53</v>
      </c>
      <c r="V812">
        <v>78.614086</v>
      </c>
      <c r="W812">
        <v>3.5672419999999998</v>
      </c>
      <c r="X812">
        <v>52.998930000000001</v>
      </c>
      <c r="Y812">
        <v>45</v>
      </c>
      <c r="Z812">
        <v>29.725079740299901</v>
      </c>
      <c r="AJ812">
        <v>-0.35500451922416687</v>
      </c>
      <c r="AK812">
        <v>-0.5052109956741333</v>
      </c>
      <c r="AL812">
        <v>4.3058275E-2</v>
      </c>
      <c r="AM812">
        <f>VLOOKUP(D812,[1]Sheet1!$C$1:$D$191,2,FALSE)</f>
        <v>105</v>
      </c>
    </row>
    <row r="813" spans="1:39" x14ac:dyDescent="0.35">
      <c r="A813">
        <v>2016</v>
      </c>
      <c r="B813" t="s">
        <v>108</v>
      </c>
      <c r="C813">
        <v>105</v>
      </c>
      <c r="D813" t="s">
        <v>301</v>
      </c>
      <c r="E813">
        <v>92648.176209734404</v>
      </c>
      <c r="G813">
        <v>92648.176209734404</v>
      </c>
      <c r="H813">
        <v>255264731908.12399</v>
      </c>
      <c r="I813">
        <v>257096001177.98199</v>
      </c>
      <c r="J813">
        <v>6.6900089266044224E-2</v>
      </c>
      <c r="K813">
        <v>2715.57887431272</v>
      </c>
      <c r="L813">
        <v>5.354270972412014E-2</v>
      </c>
      <c r="M813">
        <v>2577.5688534011301</v>
      </c>
      <c r="N813">
        <v>2.6682481696908198</v>
      </c>
      <c r="O813">
        <v>145.409507973117</v>
      </c>
      <c r="P813">
        <v>98.858960765513899</v>
      </c>
      <c r="R813">
        <v>94000117</v>
      </c>
      <c r="S813">
        <v>1.2678536350384786E-2</v>
      </c>
      <c r="T813">
        <v>78.936999999999998</v>
      </c>
      <c r="U813">
        <v>3.38</v>
      </c>
      <c r="V813">
        <v>81.537880999999999</v>
      </c>
      <c r="W813">
        <v>2.9766170000000001</v>
      </c>
      <c r="X813">
        <v>42.166730000000001</v>
      </c>
      <c r="Y813">
        <v>53</v>
      </c>
      <c r="Z813">
        <v>29.081198083940901</v>
      </c>
      <c r="AJ813">
        <v>6.531544029712677E-2</v>
      </c>
      <c r="AK813">
        <v>-0.50261175632476807</v>
      </c>
      <c r="AL813">
        <v>1.4084975E-2</v>
      </c>
      <c r="AM813">
        <f>VLOOKUP(D813,[1]Sheet1!$C$1:$D$191,2,FALSE)</f>
        <v>105</v>
      </c>
    </row>
    <row r="814" spans="1:39" x14ac:dyDescent="0.35">
      <c r="A814">
        <v>2017</v>
      </c>
      <c r="B814" t="s">
        <v>108</v>
      </c>
      <c r="C814">
        <v>105</v>
      </c>
      <c r="D814" t="s">
        <v>301</v>
      </c>
      <c r="E814">
        <v>245270</v>
      </c>
      <c r="F814">
        <v>5000280</v>
      </c>
      <c r="G814">
        <v>5245550</v>
      </c>
      <c r="H814">
        <v>272980590259.18701</v>
      </c>
      <c r="I814">
        <v>281353605986.90302</v>
      </c>
      <c r="J814">
        <v>6.9401903735919881E-2</v>
      </c>
      <c r="K814">
        <v>2868.1368001337901</v>
      </c>
      <c r="L814">
        <v>5.6178786506313728E-2</v>
      </c>
      <c r="M814">
        <v>2715.57887431272</v>
      </c>
      <c r="N814">
        <v>3.5202568881161702</v>
      </c>
      <c r="O814">
        <v>160.98008365887</v>
      </c>
      <c r="P814">
        <v>103.972032257471</v>
      </c>
      <c r="R814">
        <v>95176977</v>
      </c>
      <c r="S814">
        <v>1.251977165092252E-2</v>
      </c>
      <c r="T814">
        <v>77.858999999999995</v>
      </c>
      <c r="U814">
        <v>3.08</v>
      </c>
      <c r="V814">
        <v>82.90513</v>
      </c>
      <c r="W814">
        <v>2.8387289999999998</v>
      </c>
      <c r="X814">
        <v>43.492359999999998</v>
      </c>
      <c r="Y814">
        <v>58.14</v>
      </c>
      <c r="Z814">
        <v>25.9526307046456</v>
      </c>
      <c r="AJ814">
        <v>4.0385928004980087E-2</v>
      </c>
      <c r="AK814">
        <v>-0.43377971649169922</v>
      </c>
      <c r="AL814">
        <v>1.2137125E-2</v>
      </c>
      <c r="AM814">
        <f>VLOOKUP(D814,[1]Sheet1!$C$1:$D$191,2,FALSE)</f>
        <v>105</v>
      </c>
    </row>
    <row r="815" spans="1:39" x14ac:dyDescent="0.35">
      <c r="A815">
        <v>2018</v>
      </c>
      <c r="B815" t="s">
        <v>108</v>
      </c>
      <c r="C815">
        <v>105</v>
      </c>
      <c r="D815" t="s">
        <v>301</v>
      </c>
      <c r="E815">
        <v>1151170.3188080001</v>
      </c>
      <c r="F815">
        <v>16312289.439999999</v>
      </c>
      <c r="G815">
        <v>17463459.758808002</v>
      </c>
      <c r="H815">
        <v>293358610036.841</v>
      </c>
      <c r="I815">
        <v>310106478394.659</v>
      </c>
      <c r="J815">
        <v>7.4650068557276045E-2</v>
      </c>
      <c r="K815">
        <v>3048.2832760214501</v>
      </c>
      <c r="L815">
        <v>6.2809582820197662E-2</v>
      </c>
      <c r="M815">
        <v>2868.1368001337901</v>
      </c>
      <c r="N815">
        <v>3.53962805942641</v>
      </c>
      <c r="O815">
        <v>164.66393677589201</v>
      </c>
      <c r="P815">
        <v>105.27598468354699</v>
      </c>
      <c r="R815">
        <v>96237319</v>
      </c>
      <c r="S815">
        <v>1.114074047550386E-2</v>
      </c>
      <c r="T815">
        <v>77.766000000000005</v>
      </c>
      <c r="U815">
        <v>3.08</v>
      </c>
      <c r="V815">
        <v>88.954213999999993</v>
      </c>
      <c r="W815">
        <v>2.892773</v>
      </c>
      <c r="X815">
        <v>40.223640000000003</v>
      </c>
      <c r="Y815">
        <v>69.847899999999996</v>
      </c>
      <c r="AJ815">
        <v>-3.5467144101858139E-2</v>
      </c>
      <c r="AK815">
        <v>-0.3724912703037262</v>
      </c>
      <c r="AL815">
        <v>4.4382250000000014E-3</v>
      </c>
      <c r="AM815">
        <f>VLOOKUP(D815,[1]Sheet1!$C$1:$D$191,2,FALSE)</f>
        <v>105</v>
      </c>
    </row>
    <row r="816" spans="1:39" x14ac:dyDescent="0.35">
      <c r="A816">
        <v>2019</v>
      </c>
      <c r="B816" t="s">
        <v>108</v>
      </c>
      <c r="C816">
        <v>105</v>
      </c>
      <c r="D816" t="s">
        <v>301</v>
      </c>
      <c r="E816">
        <v>2127567.99811015</v>
      </c>
      <c r="F816">
        <v>44030870.024617337</v>
      </c>
      <c r="G816">
        <v>46158438.022727489</v>
      </c>
      <c r="H816">
        <v>314947640805.60101</v>
      </c>
      <c r="I816">
        <v>334365270496.66699</v>
      </c>
      <c r="J816">
        <v>7.3592627010500164E-2</v>
      </c>
      <c r="K816">
        <v>3241.07648966529</v>
      </c>
      <c r="L816">
        <v>6.3246488658189659E-2</v>
      </c>
      <c r="M816">
        <v>3048.2832760214501</v>
      </c>
      <c r="N816">
        <v>2.7958236745225</v>
      </c>
      <c r="O816">
        <v>164.70421503140801</v>
      </c>
      <c r="P816">
        <v>108.031900933361</v>
      </c>
      <c r="R816">
        <v>97173776</v>
      </c>
      <c r="S816">
        <v>9.7307054033789111E-3</v>
      </c>
      <c r="T816">
        <v>76.710999999999999</v>
      </c>
      <c r="U816">
        <v>3.08</v>
      </c>
      <c r="V816">
        <v>92.685058999999995</v>
      </c>
      <c r="W816">
        <v>3.0553870000000001</v>
      </c>
      <c r="X816">
        <v>39.019019999999998</v>
      </c>
      <c r="Y816">
        <v>68.661600000000007</v>
      </c>
      <c r="Z816">
        <v>30.224119186401399</v>
      </c>
      <c r="AJ816">
        <v>-5.0392884761095047E-2</v>
      </c>
      <c r="AK816">
        <v>-0.37526080012321472</v>
      </c>
      <c r="AL816">
        <v>0</v>
      </c>
      <c r="AM816">
        <f>VLOOKUP(D816,[1]Sheet1!$C$1:$D$191,2,FALSE)</f>
        <v>105</v>
      </c>
    </row>
    <row r="817" spans="1:39" x14ac:dyDescent="0.35">
      <c r="A817">
        <v>2020</v>
      </c>
      <c r="B817" t="s">
        <v>108</v>
      </c>
      <c r="C817">
        <v>105</v>
      </c>
      <c r="D817" t="s">
        <v>301</v>
      </c>
      <c r="E817">
        <v>1847692.496547811</v>
      </c>
      <c r="F817">
        <v>121655794.3119283</v>
      </c>
      <c r="G817">
        <v>123503486.80847615</v>
      </c>
      <c r="H817">
        <v>323972192107.065</v>
      </c>
      <c r="I817">
        <v>346615738537.79602</v>
      </c>
      <c r="J817">
        <v>2.8654132091226945E-2</v>
      </c>
      <c r="K817">
        <v>3303.1694980749298</v>
      </c>
      <c r="L817">
        <v>1.9158143477216207E-2</v>
      </c>
      <c r="M817">
        <v>3241.07648966529</v>
      </c>
      <c r="N817">
        <v>3.2209343665251402</v>
      </c>
      <c r="O817">
        <v>163.24586281493501</v>
      </c>
      <c r="P817">
        <v>115.525349937741</v>
      </c>
      <c r="R817">
        <v>98079191</v>
      </c>
      <c r="S817">
        <v>9.3174829390184448E-3</v>
      </c>
      <c r="T817">
        <v>74.144999999999996</v>
      </c>
      <c r="U817">
        <v>2.94</v>
      </c>
      <c r="V817">
        <v>94.935374999999993</v>
      </c>
      <c r="W817">
        <v>3.0054660000000002</v>
      </c>
      <c r="X817">
        <v>38.94415</v>
      </c>
      <c r="Y817">
        <v>70.3</v>
      </c>
      <c r="AJ817">
        <v>-0.18950188159942627</v>
      </c>
      <c r="AK817">
        <v>-0.23691633343696594</v>
      </c>
      <c r="AL817">
        <v>1.290475E-2</v>
      </c>
      <c r="AM817">
        <f>VLOOKUP(D817,[1]Sheet1!$C$1:$D$191,2,FALSE)</f>
        <v>105</v>
      </c>
    </row>
    <row r="818" spans="1:39" x14ac:dyDescent="0.35">
      <c r="A818">
        <v>2013</v>
      </c>
      <c r="B818" t="s">
        <v>109</v>
      </c>
      <c r="C818">
        <v>106</v>
      </c>
      <c r="D818" t="s">
        <v>302</v>
      </c>
      <c r="E818">
        <v>116898.3547868582</v>
      </c>
      <c r="F818">
        <v>1755900</v>
      </c>
      <c r="G818">
        <v>1872798.3547868582</v>
      </c>
      <c r="H818">
        <v>13492400000</v>
      </c>
      <c r="I818">
        <v>13515500000</v>
      </c>
      <c r="J818">
        <v>4.6985698655223521E-2</v>
      </c>
      <c r="K818">
        <v>3309.63120243098</v>
      </c>
      <c r="L818">
        <v>2.2148504792688158E-2</v>
      </c>
      <c r="M818">
        <v>3303.1694980749298</v>
      </c>
      <c r="N818">
        <v>1.72439933626931</v>
      </c>
      <c r="O818">
        <v>66.271318116236898</v>
      </c>
      <c r="P818">
        <v>24.119968568606399</v>
      </c>
      <c r="Q818">
        <v>6.9786050740449204</v>
      </c>
      <c r="R818">
        <v>4076708</v>
      </c>
      <c r="S818">
        <v>2.4299007185430748E-2</v>
      </c>
      <c r="T818">
        <v>39.792000000000002</v>
      </c>
      <c r="V818">
        <v>0.69875637000000002</v>
      </c>
      <c r="W818">
        <v>0</v>
      </c>
      <c r="X818">
        <v>100</v>
      </c>
      <c r="Y818">
        <v>46.6</v>
      </c>
      <c r="Z818">
        <v>45.235483686185802</v>
      </c>
      <c r="AJ818">
        <v>-0.40114900469779968</v>
      </c>
      <c r="AK818">
        <v>0.11920561641454699</v>
      </c>
      <c r="AM818">
        <f>VLOOKUP(D818,[1]Sheet1!$C$1:$D$191,2,FALSE)</f>
        <v>106</v>
      </c>
    </row>
    <row r="819" spans="1:39" x14ac:dyDescent="0.35">
      <c r="A819">
        <v>2014</v>
      </c>
      <c r="B819" t="s">
        <v>109</v>
      </c>
      <c r="C819">
        <v>106</v>
      </c>
      <c r="D819" t="s">
        <v>302</v>
      </c>
      <c r="E819">
        <v>94051.541018841715</v>
      </c>
      <c r="F819">
        <v>2171800</v>
      </c>
      <c r="G819">
        <v>2265851.5410188418</v>
      </c>
      <c r="H819">
        <v>13471100000</v>
      </c>
      <c r="I819">
        <v>13989700000</v>
      </c>
      <c r="J819">
        <v>-1.5786665085529632E-3</v>
      </c>
      <c r="K819">
        <v>3227.8493448264499</v>
      </c>
      <c r="L819">
        <v>-2.4710263048178905E-2</v>
      </c>
      <c r="M819">
        <v>3309.63120243098</v>
      </c>
      <c r="N819">
        <v>1.7329851003744701</v>
      </c>
      <c r="O819">
        <v>67.739837165914906</v>
      </c>
      <c r="P819">
        <v>27.3246796047092</v>
      </c>
      <c r="Q819">
        <v>7.4422737151599803</v>
      </c>
      <c r="R819">
        <v>4173398</v>
      </c>
      <c r="S819">
        <v>2.3717666313113422E-2</v>
      </c>
      <c r="T819">
        <v>40.347999999999999</v>
      </c>
      <c r="V819">
        <v>0.77762091</v>
      </c>
      <c r="W819">
        <v>4.266432</v>
      </c>
      <c r="X819">
        <v>100</v>
      </c>
      <c r="Y819">
        <v>53.665199999999999</v>
      </c>
      <c r="Z819">
        <v>44.8451220304662</v>
      </c>
      <c r="AJ819">
        <v>-0.38383749127388</v>
      </c>
      <c r="AK819">
        <v>0.20577859878540039</v>
      </c>
      <c r="AM819">
        <f>VLOOKUP(D819,[1]Sheet1!$C$1:$D$191,2,FALSE)</f>
        <v>106</v>
      </c>
    </row>
    <row r="820" spans="1:39" x14ac:dyDescent="0.35">
      <c r="A820">
        <v>2015</v>
      </c>
      <c r="B820" t="s">
        <v>109</v>
      </c>
      <c r="C820">
        <v>106</v>
      </c>
      <c r="D820" t="s">
        <v>302</v>
      </c>
      <c r="E820">
        <v>316730.27540803602</v>
      </c>
      <c r="F820">
        <v>3109325</v>
      </c>
      <c r="G820">
        <v>3426055.2754080361</v>
      </c>
      <c r="H820">
        <v>13972400000</v>
      </c>
      <c r="I820">
        <v>13972400000</v>
      </c>
      <c r="J820">
        <v>3.7212996711478645E-2</v>
      </c>
      <c r="K820">
        <v>3272.1543236070802</v>
      </c>
      <c r="L820">
        <v>1.3725850883233356E-2</v>
      </c>
      <c r="M820">
        <v>3227.8493448264499</v>
      </c>
      <c r="N820">
        <v>1.4316114581047601</v>
      </c>
      <c r="O820">
        <v>70.780968194440504</v>
      </c>
      <c r="P820">
        <v>32.601047071369301</v>
      </c>
      <c r="Q820">
        <v>6.9434365779862999</v>
      </c>
      <c r="R820">
        <v>4270092</v>
      </c>
      <c r="S820">
        <v>2.3169129807413529E-2</v>
      </c>
      <c r="T820">
        <v>41.576000000000001</v>
      </c>
      <c r="V820">
        <v>0.82990216999999999</v>
      </c>
      <c r="W820">
        <v>4.3559010000000002</v>
      </c>
      <c r="X820">
        <v>100</v>
      </c>
      <c r="Y820">
        <v>56.7</v>
      </c>
      <c r="Z820">
        <v>46.087183176420297</v>
      </c>
      <c r="AJ820">
        <v>-0.52625924348831177</v>
      </c>
      <c r="AK820">
        <v>8.0587632954120636E-2</v>
      </c>
      <c r="AM820">
        <f>VLOOKUP(D820,[1]Sheet1!$C$1:$D$191,2,FALSE)</f>
        <v>106</v>
      </c>
    </row>
    <row r="821" spans="1:39" x14ac:dyDescent="0.35">
      <c r="A821">
        <v>2016</v>
      </c>
      <c r="B821" t="s">
        <v>109</v>
      </c>
      <c r="C821">
        <v>106</v>
      </c>
      <c r="D821" t="s">
        <v>302</v>
      </c>
      <c r="E821">
        <v>396132.87774344301</v>
      </c>
      <c r="F821">
        <v>3910225</v>
      </c>
      <c r="G821">
        <v>4306357.8777434435</v>
      </c>
      <c r="H821">
        <v>15211000000</v>
      </c>
      <c r="I821">
        <v>15405400000</v>
      </c>
      <c r="J821">
        <v>8.8646188199593481E-2</v>
      </c>
      <c r="K821">
        <v>3483.0990353297202</v>
      </c>
      <c r="L821">
        <v>6.4466614609455145E-2</v>
      </c>
      <c r="M821">
        <v>3272.1543236070802</v>
      </c>
      <c r="N821">
        <v>-0.21910660490731601</v>
      </c>
      <c r="O821">
        <v>65.422514183338293</v>
      </c>
      <c r="P821">
        <v>36.527932141132297</v>
      </c>
      <c r="Q821">
        <v>6.6842575789505396</v>
      </c>
      <c r="R821">
        <v>4367088</v>
      </c>
      <c r="S821">
        <v>2.271520145233405E-2</v>
      </c>
      <c r="T821">
        <v>41.075000000000003</v>
      </c>
      <c r="V821">
        <v>0.86306755999999996</v>
      </c>
      <c r="W821">
        <v>0</v>
      </c>
      <c r="X821">
        <v>0</v>
      </c>
      <c r="Y821">
        <v>59.9</v>
      </c>
      <c r="Z821">
        <v>45.392490755783797</v>
      </c>
      <c r="AJ821">
        <v>-0.36144962906837458</v>
      </c>
      <c r="AK821">
        <v>4.8176895827054977E-2</v>
      </c>
      <c r="AM821">
        <f>VLOOKUP(D821,[1]Sheet1!$C$1:$D$191,2,FALSE)</f>
        <v>106</v>
      </c>
    </row>
    <row r="822" spans="1:39" x14ac:dyDescent="0.35">
      <c r="A822">
        <v>2017</v>
      </c>
      <c r="B822" t="s">
        <v>109</v>
      </c>
      <c r="C822">
        <v>106</v>
      </c>
      <c r="D822" t="s">
        <v>302</v>
      </c>
      <c r="E822">
        <v>263473</v>
      </c>
      <c r="F822">
        <v>4197645</v>
      </c>
      <c r="G822">
        <v>4461118</v>
      </c>
      <c r="H822">
        <v>15426900000</v>
      </c>
      <c r="I822">
        <v>16128000000</v>
      </c>
      <c r="J822">
        <v>1.4193675629478666E-2</v>
      </c>
      <c r="K822">
        <v>3462.9798610713601</v>
      </c>
      <c r="L822">
        <v>-5.7762280240347946E-3</v>
      </c>
      <c r="M822">
        <v>3483.0990353297202</v>
      </c>
      <c r="N822">
        <v>0.21257093422888099</v>
      </c>
      <c r="O822">
        <v>68.448660714285694</v>
      </c>
      <c r="P822">
        <v>41.742377900111599</v>
      </c>
      <c r="Q822">
        <v>7.4658329452849097</v>
      </c>
      <c r="R822">
        <v>4454805</v>
      </c>
      <c r="S822">
        <v>2.0085924533693848E-2</v>
      </c>
      <c r="T822">
        <v>41.304000000000002</v>
      </c>
      <c r="V822">
        <v>0.88796993000000002</v>
      </c>
      <c r="W822">
        <v>0</v>
      </c>
      <c r="X822">
        <v>0</v>
      </c>
      <c r="Y822">
        <v>63.3</v>
      </c>
      <c r="Z822">
        <v>45.5044081379083</v>
      </c>
      <c r="AJ822">
        <v>-0.433971107006073</v>
      </c>
      <c r="AK822">
        <v>4.1775554418563843E-3</v>
      </c>
      <c r="AM822">
        <f>VLOOKUP(D822,[1]Sheet1!$C$1:$D$191,2,FALSE)</f>
        <v>106</v>
      </c>
    </row>
    <row r="823" spans="1:39" x14ac:dyDescent="0.35">
      <c r="A823">
        <v>2018</v>
      </c>
      <c r="B823" t="s">
        <v>109</v>
      </c>
      <c r="C823">
        <v>106</v>
      </c>
      <c r="D823" t="s">
        <v>302</v>
      </c>
      <c r="E823">
        <v>383260.84</v>
      </c>
      <c r="F823">
        <v>3707425</v>
      </c>
      <c r="G823">
        <v>4090685.84</v>
      </c>
      <c r="H823">
        <v>15616200000</v>
      </c>
      <c r="I823">
        <v>16276600000</v>
      </c>
      <c r="J823">
        <v>1.2270773778270424E-2</v>
      </c>
      <c r="K823">
        <v>3417.7944083796201</v>
      </c>
      <c r="L823">
        <v>-1.3048141919531912E-2</v>
      </c>
      <c r="M823">
        <v>3462.9798610713601</v>
      </c>
      <c r="N823">
        <v>-0.19510777373073501</v>
      </c>
      <c r="O823">
        <v>71.401275450646907</v>
      </c>
      <c r="P823">
        <v>44.840287817050204</v>
      </c>
      <c r="Q823">
        <v>24.617306557885399</v>
      </c>
      <c r="R823">
        <v>4569087</v>
      </c>
      <c r="S823">
        <v>2.5653648139480852E-2</v>
      </c>
      <c r="T823">
        <v>40.732999999999997</v>
      </c>
      <c r="V823">
        <v>0.93998530000000002</v>
      </c>
      <c r="W823">
        <v>0</v>
      </c>
      <c r="X823">
        <v>0</v>
      </c>
      <c r="Y823">
        <v>64.400000000000006</v>
      </c>
      <c r="Z823">
        <v>46.485216205931899</v>
      </c>
      <c r="AJ823">
        <v>-0.50323945283889771</v>
      </c>
      <c r="AK823">
        <v>7.3660881025716662E-4</v>
      </c>
      <c r="AM823">
        <f>VLOOKUP(D823,[1]Sheet1!$C$1:$D$191,2,FALSE)</f>
        <v>106</v>
      </c>
    </row>
    <row r="824" spans="1:39" x14ac:dyDescent="0.35">
      <c r="A824">
        <v>2019</v>
      </c>
      <c r="B824" t="s">
        <v>109</v>
      </c>
      <c r="C824">
        <v>106</v>
      </c>
      <c r="D824" t="s">
        <v>302</v>
      </c>
      <c r="E824">
        <v>41365.014078840002</v>
      </c>
      <c r="F824">
        <v>3950475</v>
      </c>
      <c r="G824">
        <v>3991840.0140788401</v>
      </c>
      <c r="H824">
        <v>15829000000</v>
      </c>
      <c r="I824">
        <v>17133500000</v>
      </c>
      <c r="J824">
        <v>1.362687465580615E-2</v>
      </c>
      <c r="K824">
        <v>3378.4346209190999</v>
      </c>
      <c r="L824">
        <v>-1.1516136653515316E-2</v>
      </c>
      <c r="M824">
        <v>3417.7944083796201</v>
      </c>
      <c r="N824">
        <v>1.5801833363945501</v>
      </c>
      <c r="O824">
        <v>68.993492281203501</v>
      </c>
      <c r="P824">
        <v>44.926735358741603</v>
      </c>
      <c r="Q824">
        <v>24.466108527196401</v>
      </c>
      <c r="R824">
        <v>4685306</v>
      </c>
      <c r="S824">
        <v>2.5435935012837356E-2</v>
      </c>
      <c r="T824">
        <v>40.893000000000001</v>
      </c>
      <c r="V824">
        <v>0.96530881000000002</v>
      </c>
      <c r="W824">
        <v>0</v>
      </c>
      <c r="X824">
        <v>0</v>
      </c>
      <c r="Y824">
        <v>70.622600000000006</v>
      </c>
      <c r="Z824">
        <v>45.633046468716799</v>
      </c>
      <c r="AJ824">
        <v>-0.50432819128036499</v>
      </c>
      <c r="AK824">
        <v>1.6924884403124449E-3</v>
      </c>
      <c r="AM824">
        <f>VLOOKUP(D824,[1]Sheet1!$C$1:$D$191,2,FALSE)</f>
        <v>106</v>
      </c>
    </row>
    <row r="825" spans="1:39" x14ac:dyDescent="0.35">
      <c r="A825">
        <v>2020</v>
      </c>
      <c r="B825" t="s">
        <v>109</v>
      </c>
      <c r="C825">
        <v>106</v>
      </c>
      <c r="D825" t="s">
        <v>302</v>
      </c>
      <c r="E825">
        <v>42023.713524420004</v>
      </c>
      <c r="F825">
        <v>2781600</v>
      </c>
      <c r="G825">
        <v>2823623.7135244198</v>
      </c>
      <c r="H825">
        <v>14037400000</v>
      </c>
      <c r="I825">
        <v>15531700000</v>
      </c>
      <c r="J825">
        <v>-0.11318466106513361</v>
      </c>
      <c r="K825">
        <v>2922.4680108484399</v>
      </c>
      <c r="L825">
        <v>-0.13496386973047733</v>
      </c>
      <c r="M825">
        <v>3378.4346209190999</v>
      </c>
      <c r="N825">
        <v>-0.73533200109219099</v>
      </c>
      <c r="O825">
        <v>67.288191247577501</v>
      </c>
      <c r="P825">
        <v>52.2438211575681</v>
      </c>
      <c r="Q825">
        <v>29.234567171507599</v>
      </c>
      <c r="R825">
        <v>4803269</v>
      </c>
      <c r="S825">
        <v>2.5177224283750091E-2</v>
      </c>
      <c r="T825">
        <v>37.244</v>
      </c>
      <c r="V825">
        <v>0.94031933999999995</v>
      </c>
      <c r="W825">
        <v>0</v>
      </c>
      <c r="X825">
        <v>0</v>
      </c>
      <c r="Y825">
        <v>76.010000000000005</v>
      </c>
      <c r="Z825">
        <v>45.3895360497376</v>
      </c>
      <c r="AJ825">
        <v>-0.47323241829872131</v>
      </c>
      <c r="AK825">
        <v>5.4560504853725433E-2</v>
      </c>
      <c r="AM825">
        <f>VLOOKUP(D825,[1]Sheet1!$C$1:$D$191,2,FALSE)</f>
        <v>106</v>
      </c>
    </row>
    <row r="826" spans="1:39" x14ac:dyDescent="0.35">
      <c r="A826">
        <v>2013</v>
      </c>
      <c r="B826" t="s">
        <v>110</v>
      </c>
      <c r="C826">
        <v>107</v>
      </c>
      <c r="D826" t="s">
        <v>303</v>
      </c>
      <c r="F826">
        <v>810875</v>
      </c>
      <c r="G826">
        <v>810875</v>
      </c>
      <c r="H826">
        <v>59057650942.743301</v>
      </c>
      <c r="I826">
        <v>40415233436.176697</v>
      </c>
      <c r="J826">
        <v>4.8235190665053482E-2</v>
      </c>
      <c r="K826">
        <v>2014.7288796687301</v>
      </c>
      <c r="L826">
        <v>1.6791123062183173E-2</v>
      </c>
      <c r="M826">
        <v>1981.4579749684899</v>
      </c>
      <c r="N826">
        <v>10.968442150019801</v>
      </c>
      <c r="O826">
        <v>52.511878136708901</v>
      </c>
      <c r="P826">
        <v>5.6367195413748696</v>
      </c>
      <c r="R826">
        <v>29312952</v>
      </c>
      <c r="S826">
        <v>3.0924805389895994E-2</v>
      </c>
      <c r="V826">
        <v>4.8538199000000004</v>
      </c>
      <c r="W826">
        <v>3.8941270000000001</v>
      </c>
      <c r="X826">
        <v>100</v>
      </c>
      <c r="Y826">
        <v>20</v>
      </c>
      <c r="AJ826">
        <v>-1.186855792999268</v>
      </c>
      <c r="AK826">
        <v>-0.73860394954681396</v>
      </c>
      <c r="AL826">
        <v>5.4366724999999998E-2</v>
      </c>
      <c r="AM826">
        <f>VLOOKUP(D826,[1]Sheet1!$C$1:$D$191,2,FALSE)</f>
        <v>107</v>
      </c>
    </row>
    <row r="827" spans="1:39" x14ac:dyDescent="0.35">
      <c r="A827">
        <v>2014</v>
      </c>
      <c r="B827" t="s">
        <v>110</v>
      </c>
      <c r="C827">
        <v>107</v>
      </c>
      <c r="D827" t="s">
        <v>303</v>
      </c>
      <c r="F827">
        <v>1174875</v>
      </c>
      <c r="G827">
        <v>1174875</v>
      </c>
      <c r="H827">
        <v>58946214923.899399</v>
      </c>
      <c r="I827">
        <v>43228585321.327202</v>
      </c>
      <c r="J827">
        <v>-1.886902324508985E-3</v>
      </c>
      <c r="K827">
        <v>1950.16251980681</v>
      </c>
      <c r="L827">
        <v>-3.204717047215621E-2</v>
      </c>
      <c r="M827">
        <v>2014.7288796687301</v>
      </c>
      <c r="N827">
        <v>8.1047258362391492</v>
      </c>
      <c r="O827">
        <v>49.8371712544022</v>
      </c>
      <c r="R827">
        <v>30226309</v>
      </c>
      <c r="S827">
        <v>3.1158820169323104E-2</v>
      </c>
      <c r="T827">
        <v>37.274000000000001</v>
      </c>
      <c r="V827">
        <v>6.4397877000000001</v>
      </c>
      <c r="W827">
        <v>0</v>
      </c>
      <c r="X827">
        <v>0</v>
      </c>
      <c r="Y827">
        <v>22.55</v>
      </c>
      <c r="AJ827">
        <v>-1.196229100227356</v>
      </c>
      <c r="AK827">
        <v>-0.90968436002731323</v>
      </c>
      <c r="AL827">
        <v>1.8369449999999999E-2</v>
      </c>
      <c r="AM827">
        <f>VLOOKUP(D827,[1]Sheet1!$C$1:$D$191,2,FALSE)</f>
        <v>107</v>
      </c>
    </row>
    <row r="828" spans="1:39" x14ac:dyDescent="0.35">
      <c r="A828">
        <v>2015</v>
      </c>
      <c r="B828" t="s">
        <v>110</v>
      </c>
      <c r="C828">
        <v>107</v>
      </c>
      <c r="D828" t="s">
        <v>303</v>
      </c>
      <c r="F828">
        <v>360875</v>
      </c>
      <c r="G828">
        <v>360875</v>
      </c>
      <c r="H828">
        <v>42444489522.230301</v>
      </c>
      <c r="I828">
        <v>42444489522.230301</v>
      </c>
      <c r="J828">
        <v>-0.27994546253687563</v>
      </c>
      <c r="K828">
        <v>1362.17379435676</v>
      </c>
      <c r="L828">
        <v>-0.30150755102620791</v>
      </c>
      <c r="M828">
        <v>1950.16251980681</v>
      </c>
      <c r="O828">
        <v>31.637537629292002</v>
      </c>
      <c r="R828">
        <v>31159379</v>
      </c>
      <c r="S828">
        <v>3.0869465405121081E-2</v>
      </c>
      <c r="V828">
        <v>6.3886367000000002</v>
      </c>
      <c r="W828">
        <v>4.8128799999999998</v>
      </c>
      <c r="X828">
        <v>87.135540000000006</v>
      </c>
      <c r="Y828">
        <v>24.0854</v>
      </c>
      <c r="AJ828">
        <v>-1.2888668775558469</v>
      </c>
      <c r="AK828">
        <v>-1.1567730903625491</v>
      </c>
      <c r="AL828">
        <v>1.573925E-2</v>
      </c>
      <c r="AM828">
        <f>VLOOKUP(D828,[1]Sheet1!$C$1:$D$191,2,FALSE)</f>
        <v>107</v>
      </c>
    </row>
    <row r="829" spans="1:39" x14ac:dyDescent="0.35">
      <c r="A829">
        <v>2016</v>
      </c>
      <c r="B829" t="s">
        <v>110</v>
      </c>
      <c r="C829">
        <v>107</v>
      </c>
      <c r="D829" t="s">
        <v>303</v>
      </c>
      <c r="F829">
        <v>83100</v>
      </c>
      <c r="G829">
        <v>83100</v>
      </c>
      <c r="H829">
        <v>38465266075.7658</v>
      </c>
      <c r="I829">
        <v>31317824943.207298</v>
      </c>
      <c r="J829">
        <v>-9.3751238176168483E-2</v>
      </c>
      <c r="K829">
        <v>1197.95864387491</v>
      </c>
      <c r="L829">
        <v>-0.12055374370154805</v>
      </c>
      <c r="M829">
        <v>1362.17379435676</v>
      </c>
      <c r="O829">
        <v>32.646270804183999</v>
      </c>
      <c r="R829">
        <v>32109010</v>
      </c>
      <c r="S829">
        <v>3.0476570152441099E-2</v>
      </c>
      <c r="V829">
        <v>0</v>
      </c>
      <c r="W829">
        <v>6.0293970000000003</v>
      </c>
      <c r="X829">
        <v>88.123559999999998</v>
      </c>
      <c r="Y829">
        <v>24.5792</v>
      </c>
      <c r="AJ829">
        <v>-1.6730796098709111</v>
      </c>
      <c r="AK829">
        <v>-1.498029470443726</v>
      </c>
      <c r="AL829">
        <v>2.9137949999999999E-2</v>
      </c>
      <c r="AM829">
        <f>VLOOKUP(D829,[1]Sheet1!$C$1:$D$191,2,FALSE)</f>
        <v>107</v>
      </c>
    </row>
    <row r="830" spans="1:39" x14ac:dyDescent="0.35">
      <c r="A830">
        <v>2017</v>
      </c>
      <c r="B830" t="s">
        <v>110</v>
      </c>
      <c r="C830">
        <v>107</v>
      </c>
      <c r="D830" t="s">
        <v>303</v>
      </c>
      <c r="E830">
        <v>8263</v>
      </c>
      <c r="F830">
        <v>140425</v>
      </c>
      <c r="G830">
        <v>148688</v>
      </c>
      <c r="H830">
        <v>36514386388.4674</v>
      </c>
      <c r="I830">
        <v>26842228828.562901</v>
      </c>
      <c r="J830">
        <v>-5.0717956388387234E-2</v>
      </c>
      <c r="K830">
        <v>1103.4563343965999</v>
      </c>
      <c r="L830">
        <v>-7.8886120118999634E-2</v>
      </c>
      <c r="M830">
        <v>1197.95864387491</v>
      </c>
      <c r="O830">
        <v>44.952432917249702</v>
      </c>
      <c r="R830">
        <v>33090921</v>
      </c>
      <c r="S830">
        <v>3.0580544214848106E-2</v>
      </c>
      <c r="V830">
        <v>0</v>
      </c>
      <c r="W830">
        <v>6.4552860000000001</v>
      </c>
      <c r="X830">
        <v>87.441220000000001</v>
      </c>
      <c r="Y830">
        <v>26.718399999999999</v>
      </c>
      <c r="AJ830">
        <v>-1.7571113109588621</v>
      </c>
      <c r="AK830">
        <v>-1.481473326683044</v>
      </c>
      <c r="AL830">
        <v>3.6797450000000002E-2</v>
      </c>
      <c r="AM830">
        <f>VLOOKUP(D830,[1]Sheet1!$C$1:$D$191,2,FALSE)</f>
        <v>107</v>
      </c>
    </row>
    <row r="831" spans="1:39" x14ac:dyDescent="0.35">
      <c r="A831">
        <v>2018</v>
      </c>
      <c r="B831" t="s">
        <v>110</v>
      </c>
      <c r="C831">
        <v>107</v>
      </c>
      <c r="D831" t="s">
        <v>303</v>
      </c>
      <c r="E831">
        <v>23985.7402</v>
      </c>
      <c r="F831">
        <v>19825</v>
      </c>
      <c r="G831">
        <v>43810.7402</v>
      </c>
      <c r="H831">
        <v>36789138007.966698</v>
      </c>
      <c r="I831">
        <v>21606160783.984501</v>
      </c>
      <c r="J831">
        <v>7.5244758757900109E-3</v>
      </c>
      <c r="K831">
        <v>1079.3293698114001</v>
      </c>
      <c r="L831">
        <v>-2.1864901974932377E-2</v>
      </c>
      <c r="M831">
        <v>1103.4563343965999</v>
      </c>
      <c r="O831">
        <v>58.902278611164697</v>
      </c>
      <c r="R831">
        <v>34085182</v>
      </c>
      <c r="S831">
        <v>3.0046338087718984E-2</v>
      </c>
      <c r="V831">
        <v>0</v>
      </c>
      <c r="W831">
        <v>6.4386469999999996</v>
      </c>
      <c r="X831">
        <v>88.53049</v>
      </c>
      <c r="AJ831">
        <v>-1.806026339530945</v>
      </c>
      <c r="AK831">
        <v>-1.636975169181824</v>
      </c>
      <c r="AL831">
        <v>1.134105E-2</v>
      </c>
      <c r="AM831">
        <f>VLOOKUP(D831,[1]Sheet1!$C$1:$D$191,2,FALSE)</f>
        <v>107</v>
      </c>
    </row>
    <row r="832" spans="1:39" x14ac:dyDescent="0.35">
      <c r="A832">
        <v>2019</v>
      </c>
      <c r="B832" t="s">
        <v>110</v>
      </c>
      <c r="C832">
        <v>107</v>
      </c>
      <c r="D832" t="s">
        <v>303</v>
      </c>
      <c r="E832">
        <v>403020.81319999998</v>
      </c>
      <c r="G832">
        <v>403020.81319999998</v>
      </c>
      <c r="J832">
        <v>-1</v>
      </c>
      <c r="K832">
        <v>1069.7864898197299</v>
      </c>
      <c r="L832">
        <v>-8.8414901498859774E-3</v>
      </c>
      <c r="M832">
        <v>1079.3293698114001</v>
      </c>
      <c r="R832">
        <v>35111408</v>
      </c>
      <c r="S832">
        <v>3.010768726421939E-2</v>
      </c>
      <c r="V832">
        <v>0</v>
      </c>
      <c r="W832">
        <v>3.606735</v>
      </c>
      <c r="X832">
        <v>100</v>
      </c>
      <c r="AJ832">
        <v>-1.789318919181824</v>
      </c>
      <c r="AK832">
        <v>-1.702667832374573</v>
      </c>
      <c r="AL832">
        <v>6.0800749999999999E-3</v>
      </c>
      <c r="AM832">
        <f>VLOOKUP(D832,[1]Sheet1!$C$1:$D$191,2,FALSE)</f>
        <v>107</v>
      </c>
    </row>
    <row r="833" spans="1:39" x14ac:dyDescent="0.35">
      <c r="A833">
        <v>2020</v>
      </c>
      <c r="B833" t="s">
        <v>110</v>
      </c>
      <c r="C833">
        <v>107</v>
      </c>
      <c r="D833" t="s">
        <v>303</v>
      </c>
      <c r="E833">
        <v>1053613.7150000001</v>
      </c>
      <c r="G833">
        <v>1053613.7149999999</v>
      </c>
      <c r="K833">
        <v>951.13034107045405</v>
      </c>
      <c r="L833">
        <v>-0.11091572933330898</v>
      </c>
      <c r="M833">
        <v>1069.7864898197299</v>
      </c>
      <c r="R833">
        <v>36134863</v>
      </c>
      <c r="S833">
        <v>2.9148788336827734E-2</v>
      </c>
      <c r="V833">
        <v>0</v>
      </c>
      <c r="W833">
        <v>0</v>
      </c>
      <c r="X833">
        <v>0</v>
      </c>
      <c r="Y833">
        <v>13.815200000000001</v>
      </c>
      <c r="AJ833">
        <v>-1.773077726364136</v>
      </c>
      <c r="AK833">
        <v>-1.857521653175354</v>
      </c>
      <c r="AL833">
        <v>4.4532875E-2</v>
      </c>
      <c r="AM833">
        <f>VLOOKUP(D833,[1]Sheet1!$C$1:$D$191,2,FALSE)</f>
        <v>107</v>
      </c>
    </row>
    <row r="834" spans="1:39" x14ac:dyDescent="0.35">
      <c r="A834">
        <v>2013</v>
      </c>
      <c r="B834" t="s">
        <v>111</v>
      </c>
      <c r="C834">
        <v>108</v>
      </c>
      <c r="D834" t="s">
        <v>304</v>
      </c>
      <c r="E834">
        <v>97535.307025751797</v>
      </c>
      <c r="F834">
        <v>1271485</v>
      </c>
      <c r="G834">
        <v>1369020.3070257518</v>
      </c>
      <c r="H834">
        <v>19722575262.791698</v>
      </c>
      <c r="I834">
        <v>28037239462.714199</v>
      </c>
      <c r="J834">
        <v>5.0575369504725083E-2</v>
      </c>
      <c r="K834">
        <v>1280.77012176778</v>
      </c>
      <c r="L834">
        <v>1.7461805943037704E-2</v>
      </c>
      <c r="M834">
        <v>1258.7893857899601</v>
      </c>
      <c r="N834">
        <v>6.9776760549030703</v>
      </c>
      <c r="O834">
        <v>80.456241021521393</v>
      </c>
      <c r="P834">
        <v>15.816973642666399</v>
      </c>
      <c r="Q834">
        <v>17.853305734912201</v>
      </c>
      <c r="R834">
        <v>15398997</v>
      </c>
      <c r="S834">
        <v>3.2545264469164413E-2</v>
      </c>
      <c r="U834">
        <v>6.26</v>
      </c>
      <c r="V834">
        <v>9.3625842000000006</v>
      </c>
      <c r="W834">
        <v>8.7706879999999998</v>
      </c>
      <c r="X834">
        <v>48.528289999999998</v>
      </c>
      <c r="Y834">
        <v>4.8</v>
      </c>
      <c r="AF834">
        <v>0</v>
      </c>
      <c r="AJ834">
        <v>-0.26214960217475891</v>
      </c>
      <c r="AK834">
        <v>-0.49472293257713318</v>
      </c>
      <c r="AL834">
        <v>9.4386074999999986E-2</v>
      </c>
      <c r="AM834">
        <f>VLOOKUP(D834,[1]Sheet1!$C$1:$D$191,2,FALSE)</f>
        <v>108</v>
      </c>
    </row>
    <row r="835" spans="1:39" x14ac:dyDescent="0.35">
      <c r="A835">
        <v>2014</v>
      </c>
      <c r="B835" t="s">
        <v>111</v>
      </c>
      <c r="C835">
        <v>108</v>
      </c>
      <c r="D835" t="s">
        <v>304</v>
      </c>
      <c r="E835">
        <v>8923.4500000000007</v>
      </c>
      <c r="F835">
        <v>1488669</v>
      </c>
      <c r="G835">
        <v>1497592.45</v>
      </c>
      <c r="H835">
        <v>20648211567.0616</v>
      </c>
      <c r="I835">
        <v>27141023558.082901</v>
      </c>
      <c r="J835">
        <v>4.6932831637671181E-2</v>
      </c>
      <c r="K835">
        <v>1299.0124176250399</v>
      </c>
      <c r="L835">
        <v>1.4243224094017001E-2</v>
      </c>
      <c r="M835">
        <v>1280.77012176778</v>
      </c>
      <c r="N835">
        <v>7.8068755356633304</v>
      </c>
      <c r="O835">
        <v>76.193499740917005</v>
      </c>
      <c r="P835">
        <v>17.088124693980099</v>
      </c>
      <c r="Q835">
        <v>20.256239625304499</v>
      </c>
      <c r="R835">
        <v>15895315</v>
      </c>
      <c r="S835">
        <v>3.223054072937348E-2</v>
      </c>
      <c r="U835">
        <v>6.39</v>
      </c>
      <c r="V835">
        <v>10.476504</v>
      </c>
      <c r="W835">
        <v>8.3866080000000007</v>
      </c>
      <c r="X835">
        <v>46.778410000000001</v>
      </c>
      <c r="Y835">
        <v>6.5</v>
      </c>
      <c r="AF835">
        <v>0</v>
      </c>
      <c r="AJ835">
        <v>-0.22469437122344971</v>
      </c>
      <c r="AK835">
        <v>-0.53390485048294067</v>
      </c>
      <c r="AL835">
        <v>0.17286037500000001</v>
      </c>
      <c r="AM835">
        <f>VLOOKUP(D835,[1]Sheet1!$C$1:$D$191,2,FALSE)</f>
        <v>108</v>
      </c>
    </row>
    <row r="836" spans="1:39" x14ac:dyDescent="0.35">
      <c r="A836">
        <v>2015</v>
      </c>
      <c r="B836" t="s">
        <v>111</v>
      </c>
      <c r="C836">
        <v>108</v>
      </c>
      <c r="D836" t="s">
        <v>304</v>
      </c>
      <c r="E836">
        <v>16640</v>
      </c>
      <c r="F836">
        <v>1786385</v>
      </c>
      <c r="G836">
        <v>1803025</v>
      </c>
      <c r="H836">
        <v>21251216798.776199</v>
      </c>
      <c r="I836">
        <v>21251216798.776199</v>
      </c>
      <c r="J836">
        <v>2.9203751121793253E-2</v>
      </c>
      <c r="K836">
        <v>1295.87788680068</v>
      </c>
      <c r="L836">
        <v>-2.413010670129469E-3</v>
      </c>
      <c r="M836">
        <v>1299.0124176250399</v>
      </c>
      <c r="N836">
        <v>10.110592890961801</v>
      </c>
      <c r="O836">
        <v>79.865268776266703</v>
      </c>
      <c r="P836">
        <v>19.764834060403899</v>
      </c>
      <c r="Q836">
        <v>23.233787759937002</v>
      </c>
      <c r="R836">
        <v>16399089</v>
      </c>
      <c r="S836">
        <v>3.1693237913183854E-2</v>
      </c>
      <c r="T836">
        <v>72.257000000000005</v>
      </c>
      <c r="U836">
        <v>6.28</v>
      </c>
      <c r="V836">
        <v>11.257308</v>
      </c>
      <c r="W836">
        <v>6.9708459999999999</v>
      </c>
      <c r="X836">
        <v>46.46463</v>
      </c>
      <c r="Y836">
        <v>8.8000000000000007</v>
      </c>
      <c r="AF836">
        <v>0</v>
      </c>
      <c r="AJ836">
        <v>-0.2427578270435333</v>
      </c>
      <c r="AK836">
        <v>-0.49538692831993097</v>
      </c>
      <c r="AL836">
        <v>0.32673662499999989</v>
      </c>
      <c r="AM836">
        <f>VLOOKUP(D836,[1]Sheet1!$C$1:$D$191,2,FALSE)</f>
        <v>108</v>
      </c>
    </row>
    <row r="837" spans="1:39" x14ac:dyDescent="0.35">
      <c r="A837">
        <v>2016</v>
      </c>
      <c r="B837" t="s">
        <v>111</v>
      </c>
      <c r="C837">
        <v>108</v>
      </c>
      <c r="D837" t="s">
        <v>304</v>
      </c>
      <c r="E837">
        <v>38525.916175899103</v>
      </c>
      <c r="F837">
        <v>812506</v>
      </c>
      <c r="G837">
        <v>851031.9161758991</v>
      </c>
      <c r="H837">
        <v>22049221308.108799</v>
      </c>
      <c r="I837">
        <v>20958412538.309299</v>
      </c>
      <c r="J837">
        <v>3.7551003167901172E-2</v>
      </c>
      <c r="K837">
        <v>1303.57513869133</v>
      </c>
      <c r="L837">
        <v>5.9397972363378583E-3</v>
      </c>
      <c r="M837">
        <v>1295.87788680068</v>
      </c>
      <c r="N837">
        <v>17.8697300795268</v>
      </c>
      <c r="O837">
        <v>73.958561254616001</v>
      </c>
      <c r="P837">
        <v>15.442120506954399</v>
      </c>
      <c r="Q837">
        <v>22.408683342016101</v>
      </c>
      <c r="R837">
        <v>16914423</v>
      </c>
      <c r="S837">
        <v>3.142455047350496E-2</v>
      </c>
      <c r="U837">
        <v>5.99</v>
      </c>
      <c r="V837">
        <v>11.463751999999999</v>
      </c>
      <c r="W837">
        <v>9.6290800000000001</v>
      </c>
      <c r="X837">
        <v>46.622309999999999</v>
      </c>
      <c r="Y837">
        <v>10.3</v>
      </c>
      <c r="AF837">
        <v>0</v>
      </c>
      <c r="AJ837">
        <v>-0.31230565905570978</v>
      </c>
      <c r="AK837">
        <v>-0.53962522745132446</v>
      </c>
      <c r="AL837">
        <v>0.28295589999999998</v>
      </c>
      <c r="AM837">
        <f>VLOOKUP(D837,[1]Sheet1!$C$1:$D$191,2,FALSE)</f>
        <v>108</v>
      </c>
    </row>
    <row r="838" spans="1:39" x14ac:dyDescent="0.35">
      <c r="A838">
        <v>2017</v>
      </c>
      <c r="B838" t="s">
        <v>111</v>
      </c>
      <c r="C838">
        <v>108</v>
      </c>
      <c r="D838" t="s">
        <v>304</v>
      </c>
      <c r="E838">
        <v>173146.79923</v>
      </c>
      <c r="F838">
        <v>1666812.73</v>
      </c>
      <c r="G838">
        <v>1839959.52923</v>
      </c>
      <c r="H838">
        <v>22826646593.616901</v>
      </c>
      <c r="I838">
        <v>25873601260.8353</v>
      </c>
      <c r="J838">
        <v>3.5258627714993149E-2</v>
      </c>
      <c r="K838">
        <v>1308.76829240086</v>
      </c>
      <c r="L838">
        <v>3.9837778087294627E-3</v>
      </c>
      <c r="M838">
        <v>1303.57513869133</v>
      </c>
      <c r="N838">
        <v>6.5773115420564396</v>
      </c>
      <c r="O838">
        <v>71.585694654256599</v>
      </c>
      <c r="P838">
        <v>14.9060105438137</v>
      </c>
      <c r="Q838">
        <v>20.9220759632247</v>
      </c>
      <c r="R838">
        <v>17441320</v>
      </c>
      <c r="S838">
        <v>3.1150752230803262E-2</v>
      </c>
      <c r="T838">
        <v>64.238</v>
      </c>
      <c r="U838">
        <v>5.68</v>
      </c>
      <c r="V838">
        <v>11.586762999999999</v>
      </c>
      <c r="W838">
        <v>12.0457</v>
      </c>
      <c r="X838">
        <v>64.020510000000002</v>
      </c>
      <c r="Y838">
        <v>12.2</v>
      </c>
      <c r="AF838">
        <v>0</v>
      </c>
      <c r="AJ838">
        <v>-0.33993467688560491</v>
      </c>
      <c r="AK838">
        <v>-0.51622819900512695</v>
      </c>
      <c r="AL838">
        <v>0.17746945</v>
      </c>
      <c r="AM838">
        <f>VLOOKUP(D838,[1]Sheet1!$C$1:$D$191,2,FALSE)</f>
        <v>108</v>
      </c>
    </row>
    <row r="839" spans="1:39" x14ac:dyDescent="0.35">
      <c r="A839">
        <v>2018</v>
      </c>
      <c r="B839" t="s">
        <v>111</v>
      </c>
      <c r="C839">
        <v>108</v>
      </c>
      <c r="D839" t="s">
        <v>304</v>
      </c>
      <c r="E839">
        <v>59351.989350999997</v>
      </c>
      <c r="F839">
        <v>40704967.017049998</v>
      </c>
      <c r="G839">
        <v>40764319.006400995</v>
      </c>
      <c r="H839">
        <v>23747586257.251202</v>
      </c>
      <c r="I839">
        <v>26311507273.6735</v>
      </c>
      <c r="J839">
        <v>4.0344938966717342E-2</v>
      </c>
      <c r="K839">
        <v>1321.2504571157299</v>
      </c>
      <c r="L839">
        <v>9.5373373479060095E-3</v>
      </c>
      <c r="M839">
        <v>1308.76829240086</v>
      </c>
      <c r="N839">
        <v>7.4945719272852003</v>
      </c>
      <c r="O839">
        <v>74.888369527466494</v>
      </c>
      <c r="P839">
        <v>14.973719234617</v>
      </c>
      <c r="Q839">
        <v>20.110711842113201</v>
      </c>
      <c r="R839">
        <v>17973569</v>
      </c>
      <c r="S839">
        <v>3.0516554939649065E-2</v>
      </c>
      <c r="T839">
        <v>57.915999999999997</v>
      </c>
      <c r="U839">
        <v>5.61</v>
      </c>
      <c r="V839">
        <v>11.554736999999999</v>
      </c>
      <c r="W839">
        <v>5.7198700000000002</v>
      </c>
      <c r="X839">
        <v>45.828719999999997</v>
      </c>
      <c r="Y839">
        <v>14.3</v>
      </c>
      <c r="AF839">
        <v>0</v>
      </c>
      <c r="AJ839">
        <v>-0.35830661654472351</v>
      </c>
      <c r="AK839">
        <v>-0.52729851007461548</v>
      </c>
      <c r="AL839">
        <v>0.12714857500000001</v>
      </c>
      <c r="AM839">
        <f>VLOOKUP(D839,[1]Sheet1!$C$1:$D$191,2,FALSE)</f>
        <v>108</v>
      </c>
    </row>
    <row r="840" spans="1:39" x14ac:dyDescent="0.35">
      <c r="A840">
        <v>2019</v>
      </c>
      <c r="B840" t="s">
        <v>111</v>
      </c>
      <c r="C840">
        <v>108</v>
      </c>
      <c r="D840" t="s">
        <v>304</v>
      </c>
      <c r="E840">
        <v>8998.4920225400001</v>
      </c>
      <c r="F840">
        <v>172374367.3519277</v>
      </c>
      <c r="G840">
        <v>172383365.84395027</v>
      </c>
      <c r="H840">
        <v>24089861649.015499</v>
      </c>
      <c r="I840">
        <v>23308667781.2258</v>
      </c>
      <c r="J840">
        <v>1.4413060260378483E-2</v>
      </c>
      <c r="K840">
        <v>1301.18132976178</v>
      </c>
      <c r="L840">
        <v>-1.5189495107354936E-2</v>
      </c>
      <c r="M840">
        <v>1321.2504571157299</v>
      </c>
      <c r="N840">
        <v>9.1503164431629607</v>
      </c>
      <c r="O840">
        <v>68.791204936095994</v>
      </c>
      <c r="P840">
        <v>15.626189907947801</v>
      </c>
      <c r="Q840">
        <v>21.9561627239835</v>
      </c>
      <c r="R840">
        <v>18513839</v>
      </c>
      <c r="S840">
        <v>3.0059138504990299E-2</v>
      </c>
      <c r="T840">
        <v>59.814999999999998</v>
      </c>
      <c r="U840">
        <v>5.09</v>
      </c>
      <c r="V840">
        <v>10.141569</v>
      </c>
      <c r="W840">
        <v>8.4040979999999994</v>
      </c>
      <c r="X840">
        <v>44.705190000000002</v>
      </c>
      <c r="AF840">
        <v>0</v>
      </c>
      <c r="AJ840">
        <v>-0.473075270652771</v>
      </c>
      <c r="AK840">
        <v>-0.61341202259063721</v>
      </c>
      <c r="AL840">
        <v>6.3716074999999997E-2</v>
      </c>
      <c r="AM840">
        <f>VLOOKUP(D840,[1]Sheet1!$C$1:$D$191,2,FALSE)</f>
        <v>108</v>
      </c>
    </row>
    <row r="841" spans="1:39" x14ac:dyDescent="0.35">
      <c r="A841">
        <v>2020</v>
      </c>
      <c r="B841" t="s">
        <v>111</v>
      </c>
      <c r="C841">
        <v>108</v>
      </c>
      <c r="D841" t="s">
        <v>304</v>
      </c>
      <c r="E841">
        <v>61364.783785619999</v>
      </c>
      <c r="F841">
        <v>297631000.35308993</v>
      </c>
      <c r="G841">
        <v>297692365.13687557</v>
      </c>
      <c r="H841">
        <v>23418945736.8993</v>
      </c>
      <c r="I841">
        <v>18137764930.651001</v>
      </c>
      <c r="J841">
        <v>-2.7850550654516457E-2</v>
      </c>
      <c r="K841">
        <v>1228.73500113195</v>
      </c>
      <c r="L841">
        <v>-5.5677350245329396E-2</v>
      </c>
      <c r="M841">
        <v>1301.18132976178</v>
      </c>
      <c r="N841">
        <v>15.7330604721369</v>
      </c>
      <c r="O841">
        <v>79.206849409595506</v>
      </c>
      <c r="P841">
        <v>15.163554563396101</v>
      </c>
      <c r="Q841">
        <v>25.372234409729302</v>
      </c>
      <c r="R841">
        <v>19059395</v>
      </c>
      <c r="S841">
        <v>2.9467470252928094E-2</v>
      </c>
      <c r="T841">
        <v>61.048999999999999</v>
      </c>
      <c r="U841">
        <v>4.8600000000000003</v>
      </c>
      <c r="V841">
        <v>10.027381999999999</v>
      </c>
      <c r="W841">
        <v>6.6212460000000002</v>
      </c>
      <c r="X841">
        <v>58.383679999999998</v>
      </c>
      <c r="AF841">
        <v>0</v>
      </c>
      <c r="AJ841">
        <v>-0.64821726083755493</v>
      </c>
      <c r="AK841">
        <v>-0.68779391050338745</v>
      </c>
      <c r="AL841">
        <v>9.4993800000000003E-2</v>
      </c>
      <c r="AM841">
        <f>VLOOKUP(D841,[1]Sheet1!$C$1:$D$191,2,FALSE)</f>
        <v>108</v>
      </c>
    </row>
    <row r="842" spans="1:39" x14ac:dyDescent="0.35">
      <c r="A842">
        <v>2013</v>
      </c>
      <c r="B842" t="s">
        <v>112</v>
      </c>
      <c r="C842">
        <v>109</v>
      </c>
      <c r="D842" t="s">
        <v>305</v>
      </c>
      <c r="E842">
        <v>54201</v>
      </c>
      <c r="F842">
        <v>663075</v>
      </c>
      <c r="G842">
        <v>717276</v>
      </c>
      <c r="H842">
        <v>19280916546.448799</v>
      </c>
      <c r="I842">
        <v>19091020000</v>
      </c>
      <c r="J842">
        <v>3.1967308868616387E-2</v>
      </c>
      <c r="K842">
        <v>1375.8513422225301</v>
      </c>
      <c r="L842">
        <v>1.7539819415297846E-2</v>
      </c>
      <c r="M842">
        <v>1352.1351361100801</v>
      </c>
      <c r="N842">
        <v>1.63495041543822</v>
      </c>
      <c r="O842">
        <v>58.656493995606297</v>
      </c>
      <c r="P842">
        <v>18.731912600950601</v>
      </c>
      <c r="R842">
        <v>14013808</v>
      </c>
      <c r="S842">
        <v>1.417879593312639E-2</v>
      </c>
      <c r="U842">
        <v>2.67</v>
      </c>
      <c r="V842">
        <v>4.8493801000000003</v>
      </c>
      <c r="W842">
        <v>9.3980739999999994</v>
      </c>
      <c r="X842">
        <v>62.926859999999998</v>
      </c>
      <c r="Y842">
        <v>15.5</v>
      </c>
      <c r="Z842">
        <v>7.31873655658947</v>
      </c>
      <c r="AJ842">
        <v>-1.5877091884613039</v>
      </c>
      <c r="AK842">
        <v>-1.8548986911773679</v>
      </c>
      <c r="AL842">
        <v>0.1337112</v>
      </c>
      <c r="AM842">
        <f>VLOOKUP(D842,[1]Sheet1!$C$1:$D$191,2,FALSE)</f>
        <v>109</v>
      </c>
    </row>
    <row r="843" spans="1:39" x14ac:dyDescent="0.35">
      <c r="A843">
        <v>2014</v>
      </c>
      <c r="B843" t="s">
        <v>112</v>
      </c>
      <c r="C843">
        <v>109</v>
      </c>
      <c r="D843" t="s">
        <v>305</v>
      </c>
      <c r="E843">
        <v>41261</v>
      </c>
      <c r="F843">
        <v>1290275</v>
      </c>
      <c r="G843">
        <v>1331536</v>
      </c>
      <c r="H843">
        <v>19567149970.4202</v>
      </c>
      <c r="I843">
        <v>19495519600</v>
      </c>
      <c r="J843">
        <v>1.4845426216220012E-2</v>
      </c>
      <c r="K843">
        <v>1377.25456014874</v>
      </c>
      <c r="L843">
        <v>1.0198906547150312E-3</v>
      </c>
      <c r="M843">
        <v>1375.8513422225301</v>
      </c>
      <c r="N843">
        <v>-0.19778481012661001</v>
      </c>
      <c r="O843">
        <v>54.671615420806702</v>
      </c>
      <c r="P843">
        <v>19.210371382099499</v>
      </c>
      <c r="R843">
        <v>14207359</v>
      </c>
      <c r="S843">
        <v>1.3811449393341196E-2</v>
      </c>
      <c r="T843">
        <v>85.1</v>
      </c>
      <c r="U843">
        <v>2.78</v>
      </c>
      <c r="V843">
        <v>6.0342431000000003</v>
      </c>
      <c r="W843">
        <v>7.7946999999999997</v>
      </c>
      <c r="X843">
        <v>63.683700000000002</v>
      </c>
      <c r="Y843">
        <v>16.364699999999999</v>
      </c>
      <c r="AJ843">
        <v>-1.4418519735336299</v>
      </c>
      <c r="AK843">
        <v>-1.892657995223999</v>
      </c>
      <c r="AL843">
        <v>0.12792952499999999</v>
      </c>
      <c r="AM843">
        <f>VLOOKUP(D843,[1]Sheet1!$C$1:$D$191,2,FALSE)</f>
        <v>109</v>
      </c>
    </row>
    <row r="844" spans="1:39" x14ac:dyDescent="0.35">
      <c r="A844">
        <v>2015</v>
      </c>
      <c r="B844" t="s">
        <v>112</v>
      </c>
      <c r="C844">
        <v>109</v>
      </c>
      <c r="D844" t="s">
        <v>305</v>
      </c>
      <c r="E844">
        <v>65553</v>
      </c>
      <c r="F844">
        <v>722300</v>
      </c>
      <c r="G844">
        <v>787853</v>
      </c>
      <c r="H844">
        <v>19963120600</v>
      </c>
      <c r="I844">
        <v>19963120600</v>
      </c>
      <c r="J844">
        <v>2.0236499959288463E-2</v>
      </c>
      <c r="K844">
        <v>1386.42284717709</v>
      </c>
      <c r="L844">
        <v>6.6569298760280737E-3</v>
      </c>
      <c r="M844">
        <v>1377.25456014874</v>
      </c>
      <c r="N844">
        <v>-2.4309684238340399</v>
      </c>
      <c r="O844">
        <v>56.748811105213697</v>
      </c>
      <c r="P844">
        <v>18.315685662180702</v>
      </c>
      <c r="Q844">
        <v>21.8094157233113</v>
      </c>
      <c r="R844">
        <v>14399013</v>
      </c>
      <c r="S844">
        <v>1.3489769632765667E-2</v>
      </c>
      <c r="U844">
        <v>3.05</v>
      </c>
      <c r="V844">
        <v>7.1570894000000003</v>
      </c>
      <c r="W844">
        <v>7.965598</v>
      </c>
      <c r="X844">
        <v>56.758139999999997</v>
      </c>
      <c r="Y844">
        <v>22.742799999999999</v>
      </c>
      <c r="Z844">
        <v>11.048902037007601</v>
      </c>
      <c r="AJ844">
        <v>-1.33903956413269</v>
      </c>
      <c r="AK844">
        <v>-1.656233072280884</v>
      </c>
      <c r="AL844">
        <v>6.6509424999999997E-2</v>
      </c>
      <c r="AM844">
        <f>VLOOKUP(D844,[1]Sheet1!$C$1:$D$191,2,FALSE)</f>
        <v>109</v>
      </c>
    </row>
    <row r="845" spans="1:39" x14ac:dyDescent="0.35">
      <c r="A845">
        <v>2016</v>
      </c>
      <c r="B845" t="s">
        <v>112</v>
      </c>
      <c r="C845">
        <v>109</v>
      </c>
      <c r="D845" t="s">
        <v>305</v>
      </c>
      <c r="E845">
        <v>105360.82508143919</v>
      </c>
      <c r="F845">
        <v>1133647</v>
      </c>
      <c r="G845">
        <v>1239007.8250814392</v>
      </c>
      <c r="H845">
        <v>20142979412.317299</v>
      </c>
      <c r="I845">
        <v>20548678100</v>
      </c>
      <c r="J845">
        <v>9.0095539630862566E-3</v>
      </c>
      <c r="K845">
        <v>1379.6283425742799</v>
      </c>
      <c r="L845">
        <v>-4.9007448316683863E-3</v>
      </c>
      <c r="M845">
        <v>1386.42284717709</v>
      </c>
      <c r="N845">
        <v>-1.54366960054161</v>
      </c>
      <c r="O845">
        <v>51.219024643731203</v>
      </c>
      <c r="P845">
        <v>17.098562357321999</v>
      </c>
      <c r="Q845">
        <v>25.236346848024301</v>
      </c>
      <c r="R845">
        <v>14600294</v>
      </c>
      <c r="S845">
        <v>1.3978805352839114E-2</v>
      </c>
      <c r="U845">
        <v>3.05</v>
      </c>
      <c r="V845">
        <v>7.0733473</v>
      </c>
      <c r="W845">
        <v>6.1847539999999999</v>
      </c>
      <c r="X845">
        <v>57.724469999999997</v>
      </c>
      <c r="Y845">
        <v>23.12</v>
      </c>
      <c r="AJ845">
        <v>-1.391646027565002</v>
      </c>
      <c r="AK845">
        <v>-1.6949219703674321</v>
      </c>
      <c r="AL845">
        <v>0.158076625</v>
      </c>
      <c r="AM845">
        <f>VLOOKUP(D845,[1]Sheet1!$C$1:$D$191,2,FALSE)</f>
        <v>109</v>
      </c>
    </row>
    <row r="846" spans="1:39" x14ac:dyDescent="0.35">
      <c r="A846">
        <v>2017</v>
      </c>
      <c r="B846" t="s">
        <v>112</v>
      </c>
      <c r="C846">
        <v>109</v>
      </c>
      <c r="D846" t="s">
        <v>305</v>
      </c>
      <c r="E846">
        <v>191223.38268000001</v>
      </c>
      <c r="F846">
        <v>1624600</v>
      </c>
      <c r="G846">
        <v>1815823.38268</v>
      </c>
      <c r="H846">
        <v>20964866130.333401</v>
      </c>
      <c r="I846">
        <v>51074660513.371498</v>
      </c>
      <c r="J846">
        <v>4.0802639033306241E-2</v>
      </c>
      <c r="K846">
        <v>1415.3513320950101</v>
      </c>
      <c r="L846">
        <v>2.5893197768084273E-2</v>
      </c>
      <c r="M846">
        <v>1379.6283425742799</v>
      </c>
      <c r="N846">
        <v>0.89396231605002696</v>
      </c>
      <c r="O846">
        <v>17.225117598933402</v>
      </c>
      <c r="P846">
        <v>5.8100618629161396</v>
      </c>
      <c r="Q846">
        <v>9.7827795596428899</v>
      </c>
      <c r="R846">
        <v>14812482</v>
      </c>
      <c r="S846">
        <v>1.4533132004054166E-2</v>
      </c>
      <c r="U846">
        <v>3.16</v>
      </c>
      <c r="V846">
        <v>6.8892848000000004</v>
      </c>
      <c r="W846">
        <v>6.7114260000000003</v>
      </c>
      <c r="X846">
        <v>52.71031</v>
      </c>
      <c r="Y846">
        <v>24.4</v>
      </c>
      <c r="AJ846">
        <v>-1.395402669906616</v>
      </c>
      <c r="AK846">
        <v>-1.5775537490844731</v>
      </c>
      <c r="AL846">
        <v>0.13083025000000001</v>
      </c>
      <c r="AM846">
        <f>VLOOKUP(D846,[1]Sheet1!$C$1:$D$191,2,FALSE)</f>
        <v>109</v>
      </c>
    </row>
    <row r="847" spans="1:39" x14ac:dyDescent="0.35">
      <c r="A847">
        <v>2018</v>
      </c>
      <c r="B847" t="s">
        <v>112</v>
      </c>
      <c r="C847">
        <v>109</v>
      </c>
      <c r="D847" t="s">
        <v>305</v>
      </c>
      <c r="E847">
        <v>3618205.3019539998</v>
      </c>
      <c r="F847">
        <v>2653505</v>
      </c>
      <c r="G847">
        <v>6271710.3019539993</v>
      </c>
      <c r="H847">
        <v>22015177994.7607</v>
      </c>
      <c r="I847">
        <v>34156069918.060902</v>
      </c>
      <c r="J847">
        <v>5.0098667833019764E-2</v>
      </c>
      <c r="K847">
        <v>1464.31529361767</v>
      </c>
      <c r="L847">
        <v>3.4594916761892067E-2</v>
      </c>
      <c r="M847">
        <v>1415.3513320950101</v>
      </c>
      <c r="N847">
        <v>10.618865866957499</v>
      </c>
      <c r="O847">
        <v>54.550270396528802</v>
      </c>
      <c r="P847">
        <v>5.8302649692318997</v>
      </c>
      <c r="Q847">
        <v>10.9772796452439</v>
      </c>
      <c r="R847">
        <v>15034452</v>
      </c>
      <c r="S847">
        <v>1.4985334665723138E-2</v>
      </c>
      <c r="U847">
        <v>3.16</v>
      </c>
      <c r="V847">
        <v>6.6253019999999996</v>
      </c>
      <c r="W847">
        <v>8.7853870000000001</v>
      </c>
      <c r="X847">
        <v>57.614179999999998</v>
      </c>
      <c r="Y847">
        <v>25</v>
      </c>
      <c r="AJ847">
        <v>-1.2930586338043211</v>
      </c>
      <c r="AK847">
        <v>-1.525652408599854</v>
      </c>
      <c r="AL847">
        <v>5.2901349999999993E-2</v>
      </c>
      <c r="AM847">
        <f>VLOOKUP(D847,[1]Sheet1!$C$1:$D$191,2,FALSE)</f>
        <v>109</v>
      </c>
    </row>
    <row r="848" spans="1:39" x14ac:dyDescent="0.35">
      <c r="A848">
        <v>2019</v>
      </c>
      <c r="B848" t="s">
        <v>112</v>
      </c>
      <c r="C848">
        <v>109</v>
      </c>
      <c r="D848" t="s">
        <v>305</v>
      </c>
      <c r="E848">
        <v>7717.7879832899998</v>
      </c>
      <c r="F848">
        <v>1592560</v>
      </c>
      <c r="G848">
        <v>1600277.7879832899</v>
      </c>
      <c r="H848">
        <v>20621078646.829399</v>
      </c>
      <c r="I848">
        <v>25717409842.447899</v>
      </c>
      <c r="J848">
        <v>-6.332446407033715E-2</v>
      </c>
      <c r="K848">
        <v>1350.3098508810399</v>
      </c>
      <c r="L848">
        <v>-7.7855802799801074E-2</v>
      </c>
      <c r="M848">
        <v>1464.31529361767</v>
      </c>
      <c r="N848">
        <v>255.30499075785599</v>
      </c>
      <c r="O848">
        <v>55.795960973365702</v>
      </c>
      <c r="P848">
        <v>5.2377063626743903</v>
      </c>
      <c r="R848">
        <v>15271368</v>
      </c>
      <c r="S848">
        <v>1.575820655119322E-2</v>
      </c>
      <c r="T848">
        <v>62.607999999999997</v>
      </c>
      <c r="U848">
        <v>3.16</v>
      </c>
      <c r="V848">
        <v>6.3981368999999999</v>
      </c>
      <c r="W848">
        <v>7.2473799999999997</v>
      </c>
      <c r="X848">
        <v>54.749789999999997</v>
      </c>
      <c r="Y848">
        <v>26.5883</v>
      </c>
      <c r="AJ848">
        <v>-1.311040878295898</v>
      </c>
      <c r="AK848">
        <v>-1.4865152835845949</v>
      </c>
      <c r="AL848">
        <v>6.8420424999999993E-2</v>
      </c>
      <c r="AM848">
        <f>VLOOKUP(D848,[1]Sheet1!$C$1:$D$191,2,FALSE)</f>
        <v>109</v>
      </c>
    </row>
    <row r="849" spans="1:39" x14ac:dyDescent="0.35">
      <c r="A849">
        <v>2020</v>
      </c>
      <c r="B849" t="s">
        <v>112</v>
      </c>
      <c r="C849">
        <v>109</v>
      </c>
      <c r="D849" t="s">
        <v>305</v>
      </c>
      <c r="E849">
        <v>259931.01252431</v>
      </c>
      <c r="F849">
        <v>1000</v>
      </c>
      <c r="G849">
        <v>260931.01252431</v>
      </c>
      <c r="H849">
        <v>19009139106.166199</v>
      </c>
      <c r="I849">
        <v>26867936444.682598</v>
      </c>
      <c r="J849">
        <v>-7.8169506468132532E-2</v>
      </c>
      <c r="K849">
        <v>1224.27231433409</v>
      </c>
      <c r="L849">
        <v>-9.3339714928920875E-2</v>
      </c>
      <c r="M849">
        <v>1350.3098508810399</v>
      </c>
      <c r="N849">
        <v>557.20181736205097</v>
      </c>
      <c r="O849">
        <v>47.313365422386497</v>
      </c>
      <c r="P849">
        <v>5.4150741733226697</v>
      </c>
      <c r="R849">
        <v>15526888</v>
      </c>
      <c r="S849">
        <v>1.6731965335391039E-2</v>
      </c>
      <c r="U849">
        <v>3.16</v>
      </c>
      <c r="V849">
        <v>6.1618925999999998</v>
      </c>
      <c r="W849">
        <v>4.5650870000000001</v>
      </c>
      <c r="X849">
        <v>58.96508</v>
      </c>
      <c r="Y849">
        <v>29.2986</v>
      </c>
      <c r="AJ849">
        <v>-1.3373620510101321</v>
      </c>
      <c r="AK849">
        <v>-1.434415340423584</v>
      </c>
      <c r="AL849">
        <v>7.1307049999999997E-2</v>
      </c>
      <c r="AM849">
        <f>VLOOKUP(D849,[1]Sheet1!$C$1:$D$191,2,FALSE)</f>
        <v>109</v>
      </c>
    </row>
    <row r="850" spans="1:39" x14ac:dyDescent="0.35">
      <c r="A850">
        <v>2014</v>
      </c>
      <c r="B850" t="s">
        <v>113</v>
      </c>
      <c r="C850">
        <v>110</v>
      </c>
      <c r="D850" t="s">
        <v>358</v>
      </c>
      <c r="E850">
        <v>3760</v>
      </c>
      <c r="G850">
        <v>3760</v>
      </c>
      <c r="H850">
        <v>89650503847.704102</v>
      </c>
      <c r="I850">
        <v>135966802586.713</v>
      </c>
      <c r="J850">
        <v>4.8225592696215056E-2</v>
      </c>
      <c r="K850">
        <v>3300.7351098087101</v>
      </c>
      <c r="L850">
        <v>9.8194396765390671E-3</v>
      </c>
      <c r="M850">
        <v>3268.6389072347301</v>
      </c>
      <c r="N850">
        <v>7.2803873036112101</v>
      </c>
      <c r="O850">
        <v>79.332922782889696</v>
      </c>
      <c r="Q850">
        <v>27.967359355334999</v>
      </c>
      <c r="R850">
        <v>27160769</v>
      </c>
      <c r="S850">
        <v>3.8032693282253581E-2</v>
      </c>
      <c r="T850">
        <v>38.863</v>
      </c>
      <c r="U850">
        <v>3.35</v>
      </c>
      <c r="V850">
        <v>18.192153999999999</v>
      </c>
      <c r="W850">
        <v>4.5503080000000002</v>
      </c>
      <c r="X850">
        <v>68.777379999999994</v>
      </c>
      <c r="Y850">
        <v>21.362300000000001</v>
      </c>
      <c r="AA850">
        <v>2020</v>
      </c>
      <c r="AC850">
        <v>0</v>
      </c>
      <c r="AF850">
        <v>0</v>
      </c>
      <c r="AJ850">
        <v>-1.074954032897949</v>
      </c>
      <c r="AK850">
        <v>-0.86068344116210938</v>
      </c>
      <c r="AL850">
        <v>4.713175E-2</v>
      </c>
      <c r="AM850">
        <f>VLOOKUP(D850,[1]Sheet1!$C$1:$D$191,2,FALSE)</f>
        <v>110</v>
      </c>
    </row>
    <row r="851" spans="1:39" x14ac:dyDescent="0.35">
      <c r="A851">
        <v>2015</v>
      </c>
      <c r="B851" t="s">
        <v>113</v>
      </c>
      <c r="C851">
        <v>110</v>
      </c>
      <c r="D851" t="s">
        <v>358</v>
      </c>
      <c r="E851">
        <v>14479.454773449401</v>
      </c>
      <c r="G851">
        <v>14479.454773449401</v>
      </c>
      <c r="H851">
        <v>90496420506.595703</v>
      </c>
      <c r="I851">
        <v>90496420506.595703</v>
      </c>
      <c r="J851">
        <v>9.4357156132510132E-3</v>
      </c>
      <c r="K851">
        <v>3213.9026108005901</v>
      </c>
      <c r="L851">
        <v>-2.6307018321489097E-2</v>
      </c>
      <c r="M851">
        <v>3300.7351098087101</v>
      </c>
      <c r="N851">
        <v>9.3559721553378399</v>
      </c>
      <c r="O851">
        <v>62.888516089019198</v>
      </c>
      <c r="P851">
        <v>25.240108305498399</v>
      </c>
      <c r="Q851">
        <v>20.818831617991901</v>
      </c>
      <c r="R851">
        <v>28157798</v>
      </c>
      <c r="S851">
        <v>3.6708423093617118E-2</v>
      </c>
      <c r="U851">
        <v>3.35</v>
      </c>
      <c r="V851">
        <v>18.822464</v>
      </c>
      <c r="W851">
        <v>5.1425539999999996</v>
      </c>
      <c r="X851">
        <v>54.9589</v>
      </c>
      <c r="Y851">
        <v>22</v>
      </c>
      <c r="Z851">
        <v>8.7832086803312102</v>
      </c>
      <c r="AA851">
        <v>2020</v>
      </c>
      <c r="AC851">
        <v>0</v>
      </c>
      <c r="AF851">
        <v>0</v>
      </c>
      <c r="AJ851">
        <v>-1.0306587219238279</v>
      </c>
      <c r="AK851">
        <v>-0.86367142200469971</v>
      </c>
      <c r="AL851">
        <v>4.5512249999999999E-3</v>
      </c>
      <c r="AM851">
        <f>VLOOKUP(D851,[1]Sheet1!$C$1:$D$191,2,FALSE)</f>
        <v>110</v>
      </c>
    </row>
    <row r="852" spans="1:39" x14ac:dyDescent="0.35">
      <c r="A852">
        <v>2017</v>
      </c>
      <c r="B852" t="s">
        <v>113</v>
      </c>
      <c r="C852">
        <v>110</v>
      </c>
      <c r="D852" t="s">
        <v>358</v>
      </c>
      <c r="E852">
        <v>14715</v>
      </c>
      <c r="G852">
        <v>14715</v>
      </c>
      <c r="H852">
        <v>88031782694.378693</v>
      </c>
      <c r="I852">
        <v>73690154990.731201</v>
      </c>
      <c r="J852">
        <v>-1.4721294108577605E-3</v>
      </c>
      <c r="K852">
        <v>2911.6008421403799</v>
      </c>
      <c r="L852">
        <v>-3.6207576817129973E-2</v>
      </c>
      <c r="M852">
        <v>3020.9833280541702</v>
      </c>
      <c r="N852">
        <v>29.844479901567901</v>
      </c>
      <c r="O852">
        <v>52.2568222278462</v>
      </c>
      <c r="P852">
        <v>17.000685058629401</v>
      </c>
      <c r="Q852">
        <v>16.671137232854999</v>
      </c>
      <c r="R852">
        <v>30234839</v>
      </c>
      <c r="S852">
        <v>3.6040382317556033E-2</v>
      </c>
      <c r="U852">
        <v>3.62</v>
      </c>
      <c r="V852">
        <v>19.131439</v>
      </c>
      <c r="W852">
        <v>6.9264089999999996</v>
      </c>
      <c r="X852">
        <v>58.907470000000004</v>
      </c>
      <c r="Y852">
        <v>26</v>
      </c>
      <c r="AA852">
        <v>2020</v>
      </c>
      <c r="AC852">
        <v>0</v>
      </c>
      <c r="AF852">
        <v>0</v>
      </c>
      <c r="AJ852">
        <v>-1.0399820804595949</v>
      </c>
      <c r="AK852">
        <v>-1.045466542243958</v>
      </c>
      <c r="AL852">
        <v>7.3293350000000007E-2</v>
      </c>
      <c r="AM852">
        <f>VLOOKUP(D852,[1]Sheet1!$C$1:$D$191,2,FALSE)</f>
        <v>110</v>
      </c>
    </row>
    <row r="853" spans="1:39" x14ac:dyDescent="0.35">
      <c r="A853">
        <v>2019</v>
      </c>
      <c r="B853" t="s">
        <v>113</v>
      </c>
      <c r="C853">
        <v>110</v>
      </c>
      <c r="D853" t="s">
        <v>358</v>
      </c>
      <c r="E853">
        <v>3977.8962705899999</v>
      </c>
      <c r="G853">
        <v>3977.8962705899999</v>
      </c>
      <c r="H853">
        <v>86262880684.945602</v>
      </c>
      <c r="I853">
        <v>70897962732.027695</v>
      </c>
      <c r="J853">
        <v>-7.0227295761611328E-3</v>
      </c>
      <c r="K853">
        <v>2664.4385099554402</v>
      </c>
      <c r="L853">
        <v>-4.0100173367061426E-2</v>
      </c>
      <c r="M853">
        <v>2775.7464227299101</v>
      </c>
      <c r="N853">
        <v>17.080954143437999</v>
      </c>
      <c r="O853">
        <v>57.829538118303603</v>
      </c>
      <c r="P853">
        <v>15.340921560583499</v>
      </c>
      <c r="Q853">
        <v>16.684952213837398</v>
      </c>
      <c r="R853">
        <v>32375632</v>
      </c>
      <c r="S853">
        <v>3.4459266345455361E-2</v>
      </c>
      <c r="T853">
        <v>79.180999999999997</v>
      </c>
      <c r="U853">
        <v>3.72</v>
      </c>
      <c r="V853">
        <v>18.395662999999999</v>
      </c>
      <c r="W853">
        <v>4.9376239999999996</v>
      </c>
      <c r="X853">
        <v>64.201250000000002</v>
      </c>
      <c r="Y853">
        <v>32.129399999999997</v>
      </c>
      <c r="AA853">
        <v>2020</v>
      </c>
      <c r="AC853">
        <v>0</v>
      </c>
      <c r="AF853">
        <v>0</v>
      </c>
      <c r="AJ853">
        <v>-1.0235482454299929</v>
      </c>
      <c r="AK853">
        <v>-0.83384454250335693</v>
      </c>
      <c r="AL853">
        <v>7.8504149999999995E-2</v>
      </c>
      <c r="AM853">
        <f>VLOOKUP(D853,[1]Sheet1!$C$1:$D$191,2,FALSE)</f>
        <v>110</v>
      </c>
    </row>
    <row r="854" spans="1:39" x14ac:dyDescent="0.35">
      <c r="A854">
        <v>2014</v>
      </c>
      <c r="B854" t="s">
        <v>114</v>
      </c>
      <c r="C854">
        <v>111</v>
      </c>
      <c r="D854" t="s">
        <v>359</v>
      </c>
      <c r="E854">
        <v>15567</v>
      </c>
      <c r="G854">
        <v>15567</v>
      </c>
      <c r="H854">
        <v>5333181721.6884499</v>
      </c>
      <c r="I854">
        <v>5365976700</v>
      </c>
      <c r="J854">
        <v>8.2405477813923291E-4</v>
      </c>
      <c r="K854">
        <v>19160.122299023002</v>
      </c>
      <c r="L854">
        <v>-1.6317301723991807E-3</v>
      </c>
      <c r="M854">
        <v>19191.437546719699</v>
      </c>
      <c r="N854">
        <v>1.7695032208972901</v>
      </c>
      <c r="P854">
        <v>71.765739493794101</v>
      </c>
      <c r="Q854">
        <v>29.277185251288898</v>
      </c>
      <c r="R854">
        <v>278348</v>
      </c>
      <c r="S854">
        <v>2.4597986782633747E-3</v>
      </c>
      <c r="V854">
        <v>42.702784000000001</v>
      </c>
      <c r="W854">
        <v>2.1256849999999998</v>
      </c>
      <c r="X854">
        <v>100</v>
      </c>
      <c r="Y854">
        <v>71.900000000000006</v>
      </c>
      <c r="Z854">
        <v>71.268262874284801</v>
      </c>
      <c r="AJ854">
        <v>1.079967737197876</v>
      </c>
      <c r="AK854">
        <v>0.33540132641792297</v>
      </c>
      <c r="AM854">
        <f>VLOOKUP(D854,[1]Sheet1!$C$1:$D$191,2,FALSE)</f>
        <v>111</v>
      </c>
    </row>
    <row r="855" spans="1:39" x14ac:dyDescent="0.35">
      <c r="A855">
        <v>2015</v>
      </c>
      <c r="B855" t="s">
        <v>114</v>
      </c>
      <c r="C855">
        <v>111</v>
      </c>
      <c r="D855" t="s">
        <v>359</v>
      </c>
      <c r="E855">
        <v>15198</v>
      </c>
      <c r="G855">
        <v>15198</v>
      </c>
      <c r="H855">
        <v>5288057750</v>
      </c>
      <c r="I855">
        <v>5288057750</v>
      </c>
      <c r="J855">
        <v>-8.4609852135628921E-3</v>
      </c>
      <c r="K855">
        <v>18954.2913724506</v>
      </c>
      <c r="L855">
        <v>-1.0742672899478179E-2</v>
      </c>
      <c r="M855">
        <v>19160.122299023002</v>
      </c>
      <c r="N855">
        <v>-1.11278992510967</v>
      </c>
      <c r="P855">
        <v>73.993093524754599</v>
      </c>
      <c r="Q855">
        <v>31.466878477263201</v>
      </c>
      <c r="R855">
        <v>278990</v>
      </c>
      <c r="S855">
        <v>2.3064652880566772E-3</v>
      </c>
      <c r="T855">
        <v>57.954000000000001</v>
      </c>
      <c r="V855">
        <v>36.45534</v>
      </c>
      <c r="W855">
        <v>1.832489</v>
      </c>
      <c r="X855">
        <v>100</v>
      </c>
      <c r="Y855">
        <v>72</v>
      </c>
      <c r="Z855">
        <v>57.281445756416701</v>
      </c>
      <c r="AJ855">
        <v>1.0627841949462891</v>
      </c>
      <c r="AK855">
        <v>0.54922717809677124</v>
      </c>
      <c r="AM855">
        <f>VLOOKUP(D855,[1]Sheet1!$C$1:$D$191,2,FALSE)</f>
        <v>111</v>
      </c>
    </row>
    <row r="856" spans="1:39" x14ac:dyDescent="0.35">
      <c r="A856">
        <v>2017</v>
      </c>
      <c r="B856" t="s">
        <v>114</v>
      </c>
      <c r="C856">
        <v>111</v>
      </c>
      <c r="D856" t="s">
        <v>359</v>
      </c>
      <c r="E856">
        <v>21593</v>
      </c>
      <c r="G856">
        <v>21593</v>
      </c>
      <c r="H856">
        <v>5389730072.9203596</v>
      </c>
      <c r="I856">
        <v>5517340450</v>
      </c>
      <c r="J856">
        <v>1.2844600157042388E-3</v>
      </c>
      <c r="K856">
        <v>19237.287488427999</v>
      </c>
      <c r="L856">
        <v>-7.6334648671317468E-4</v>
      </c>
      <c r="M856">
        <v>19251.983422335699</v>
      </c>
      <c r="N856">
        <v>4.6601846395599598</v>
      </c>
      <c r="P856">
        <v>74.307788237485596</v>
      </c>
      <c r="R856">
        <v>280171</v>
      </c>
      <c r="S856">
        <v>2.0493708824812769E-3</v>
      </c>
      <c r="T856">
        <v>57.744</v>
      </c>
      <c r="V856">
        <v>26.300384000000001</v>
      </c>
      <c r="W856">
        <v>1.866627</v>
      </c>
      <c r="X856">
        <v>100</v>
      </c>
      <c r="Y856">
        <v>72.3</v>
      </c>
      <c r="Z856">
        <v>51.010669669186598</v>
      </c>
      <c r="AJ856">
        <v>0.62547701597213745</v>
      </c>
      <c r="AK856">
        <v>0.47972223162651062</v>
      </c>
      <c r="AM856">
        <f>VLOOKUP(D856,[1]Sheet1!$C$1:$D$191,2,FALSE)</f>
        <v>111</v>
      </c>
    </row>
    <row r="857" spans="1:39" x14ac:dyDescent="0.35">
      <c r="A857">
        <v>2018</v>
      </c>
      <c r="B857" t="s">
        <v>114</v>
      </c>
      <c r="C857">
        <v>111</v>
      </c>
      <c r="D857" t="s">
        <v>359</v>
      </c>
      <c r="E857">
        <v>9812.89</v>
      </c>
      <c r="G857">
        <v>9812.89</v>
      </c>
      <c r="H857">
        <v>5326451133.4874897</v>
      </c>
      <c r="I857">
        <v>5629916200</v>
      </c>
      <c r="J857">
        <v>-1.1740650937382285E-2</v>
      </c>
      <c r="K857">
        <v>18974.857178690901</v>
      </c>
      <c r="L857">
        <v>-1.3641752242615282E-2</v>
      </c>
      <c r="M857">
        <v>19237.287488427999</v>
      </c>
      <c r="N857">
        <v>3.6738141040680099</v>
      </c>
      <c r="P857">
        <v>73.083014041985606</v>
      </c>
      <c r="R857">
        <v>280711</v>
      </c>
      <c r="S857">
        <v>1.9273943413129838E-3</v>
      </c>
      <c r="T857">
        <v>56.015999999999998</v>
      </c>
      <c r="V857">
        <v>26.168286999999999</v>
      </c>
      <c r="W857">
        <v>0</v>
      </c>
      <c r="X857">
        <v>0</v>
      </c>
      <c r="Y857">
        <v>72.400000000000006</v>
      </c>
      <c r="Z857">
        <v>45.875198307773701</v>
      </c>
      <c r="AI857">
        <v>1</v>
      </c>
      <c r="AJ857">
        <v>0.36329483985900879</v>
      </c>
      <c r="AK857">
        <v>0.53177666664123535</v>
      </c>
      <c r="AM857">
        <f>VLOOKUP(D857,[1]Sheet1!$C$1:$D$191,2,FALSE)</f>
        <v>111</v>
      </c>
    </row>
    <row r="858" spans="1:39" x14ac:dyDescent="0.35">
      <c r="A858">
        <v>2020</v>
      </c>
      <c r="B858" t="s">
        <v>114</v>
      </c>
      <c r="C858">
        <v>111</v>
      </c>
      <c r="D858" t="s">
        <v>359</v>
      </c>
      <c r="E858">
        <v>10615.22</v>
      </c>
      <c r="G858">
        <v>10615.22</v>
      </c>
      <c r="H858">
        <v>4554114648.0236397</v>
      </c>
      <c r="I858">
        <v>5168344450</v>
      </c>
      <c r="J858">
        <v>-0.15054362949589264</v>
      </c>
      <c r="K858">
        <v>16166.655950782901</v>
      </c>
      <c r="L858">
        <v>-0.15202423311365967</v>
      </c>
      <c r="M858">
        <v>19064.997588486302</v>
      </c>
      <c r="P858">
        <v>79.388977456035704</v>
      </c>
      <c r="R858">
        <v>281698</v>
      </c>
      <c r="S858">
        <v>1.7460447286162862E-3</v>
      </c>
      <c r="V858">
        <v>28.009214</v>
      </c>
      <c r="W858">
        <v>0</v>
      </c>
      <c r="X858">
        <v>100</v>
      </c>
      <c r="Y858">
        <v>76.001999999999995</v>
      </c>
      <c r="Z858">
        <v>52.971630830999999</v>
      </c>
      <c r="AI858">
        <v>1</v>
      </c>
      <c r="AJ858">
        <v>0.29438126087188721</v>
      </c>
      <c r="AK858">
        <v>0.46779584884643549</v>
      </c>
      <c r="AM858">
        <f>VLOOKUP(D858,[1]Sheet1!$C$1:$D$191,2,FALSE)</f>
        <v>111</v>
      </c>
    </row>
    <row r="859" spans="1:39" x14ac:dyDescent="0.35">
      <c r="A859">
        <v>2014</v>
      </c>
      <c r="B859" t="s">
        <v>115</v>
      </c>
      <c r="C859">
        <v>112</v>
      </c>
      <c r="D859" t="s">
        <v>360</v>
      </c>
      <c r="E859">
        <v>86722</v>
      </c>
      <c r="G859">
        <v>86722</v>
      </c>
      <c r="H859">
        <v>2131737316.74054</v>
      </c>
      <c r="I859">
        <v>2138250000</v>
      </c>
      <c r="J859">
        <v>4.0308455775032566E-2</v>
      </c>
      <c r="K859">
        <v>6109.4777837532602</v>
      </c>
      <c r="L859">
        <v>1.8555546126385492E-2</v>
      </c>
      <c r="M859">
        <v>5998.1783094578304</v>
      </c>
      <c r="N859">
        <v>1.2013996448105799</v>
      </c>
      <c r="O859">
        <v>107.120308663627</v>
      </c>
      <c r="P859">
        <v>44.694308148485902</v>
      </c>
      <c r="Q859">
        <v>19.439324781480199</v>
      </c>
      <c r="R859">
        <v>348923</v>
      </c>
      <c r="S859">
        <v>2.1356625793628722E-2</v>
      </c>
      <c r="T859">
        <v>56.658999999999999</v>
      </c>
      <c r="V859">
        <v>40.437227999999998</v>
      </c>
      <c r="W859">
        <v>0</v>
      </c>
      <c r="X859">
        <v>0</v>
      </c>
      <c r="Y859">
        <v>38.700000000000003</v>
      </c>
      <c r="Z859">
        <v>24.015463344087198</v>
      </c>
      <c r="AJ859">
        <v>-0.81467521190643311</v>
      </c>
      <c r="AK859">
        <v>-0.46153375506401062</v>
      </c>
      <c r="AM859">
        <f>VLOOKUP(D859,[1]Sheet1!$C$1:$D$191,2,FALSE)</f>
        <v>112</v>
      </c>
    </row>
    <row r="860" spans="1:39" x14ac:dyDescent="0.35">
      <c r="A860">
        <v>2015</v>
      </c>
      <c r="B860" t="s">
        <v>115</v>
      </c>
      <c r="C860">
        <v>112</v>
      </c>
      <c r="D860" t="s">
        <v>360</v>
      </c>
      <c r="E860">
        <v>5088</v>
      </c>
      <c r="G860">
        <v>5088</v>
      </c>
      <c r="H860">
        <v>2193050000</v>
      </c>
      <c r="I860">
        <v>2193050000</v>
      </c>
      <c r="J860">
        <v>2.8761837951595291E-2</v>
      </c>
      <c r="K860">
        <v>6154.4959349821702</v>
      </c>
      <c r="L860">
        <v>7.3685759769231609E-3</v>
      </c>
      <c r="M860">
        <v>6109.4777837532602</v>
      </c>
      <c r="N860">
        <v>-0.86158400942774804</v>
      </c>
      <c r="O860">
        <v>104.07879437313299</v>
      </c>
      <c r="P860">
        <v>45.892158809648699</v>
      </c>
      <c r="Q860">
        <v>20.617182900298701</v>
      </c>
      <c r="R860">
        <v>356333</v>
      </c>
      <c r="S860">
        <v>2.1236777168601669E-2</v>
      </c>
      <c r="T860">
        <v>56.33</v>
      </c>
      <c r="V860">
        <v>39.990369999999999</v>
      </c>
      <c r="W860">
        <v>5.740157</v>
      </c>
      <c r="X860">
        <v>88.645809999999997</v>
      </c>
      <c r="Y860">
        <v>41.59</v>
      </c>
      <c r="Z860">
        <v>23.435062269057099</v>
      </c>
      <c r="AJ860">
        <v>-0.79416161775588989</v>
      </c>
      <c r="AK860">
        <v>-0.44068682193756098</v>
      </c>
      <c r="AM860">
        <f>VLOOKUP(D860,[1]Sheet1!$C$1:$D$191,2,FALSE)</f>
        <v>112</v>
      </c>
    </row>
    <row r="861" spans="1:39" x14ac:dyDescent="0.35">
      <c r="A861">
        <v>2016</v>
      </c>
      <c r="B861" t="s">
        <v>115</v>
      </c>
      <c r="C861">
        <v>112</v>
      </c>
      <c r="D861" t="s">
        <v>360</v>
      </c>
      <c r="E861">
        <v>1488.4627400403001</v>
      </c>
      <c r="G861">
        <v>1488.4627400403001</v>
      </c>
      <c r="H861">
        <v>2194246345.0392098</v>
      </c>
      <c r="I861">
        <v>2240200000</v>
      </c>
      <c r="J861">
        <v>5.455165359703804E-4</v>
      </c>
      <c r="K861">
        <v>6016.4964698570302</v>
      </c>
      <c r="L861">
        <v>-2.242254549893366E-2</v>
      </c>
      <c r="M861">
        <v>6154.4959349821702</v>
      </c>
      <c r="N861">
        <v>0.66342716791760104</v>
      </c>
      <c r="O861">
        <v>96.464601374877205</v>
      </c>
      <c r="P861">
        <v>44.7234063079189</v>
      </c>
      <c r="Q861">
        <v>21.265900894339801</v>
      </c>
      <c r="R861">
        <v>364705</v>
      </c>
      <c r="S861">
        <v>2.3494876983046756E-2</v>
      </c>
      <c r="T861">
        <v>57.536000000000001</v>
      </c>
      <c r="V861">
        <v>39.640697000000003</v>
      </c>
      <c r="W861">
        <v>8.3880210000000002</v>
      </c>
      <c r="X861">
        <v>84.331469999999996</v>
      </c>
      <c r="Y861">
        <v>44.575699999999998</v>
      </c>
      <c r="Z861">
        <v>24.476013668038799</v>
      </c>
      <c r="AJ861">
        <v>-0.97061550617218018</v>
      </c>
      <c r="AK861">
        <v>-0.49431997537612921</v>
      </c>
      <c r="AM861">
        <f>VLOOKUP(D861,[1]Sheet1!$C$1:$D$191,2,FALSE)</f>
        <v>112</v>
      </c>
    </row>
    <row r="862" spans="1:39" x14ac:dyDescent="0.35">
      <c r="A862">
        <v>2017</v>
      </c>
      <c r="B862" t="s">
        <v>115</v>
      </c>
      <c r="C862">
        <v>112</v>
      </c>
      <c r="D862" t="s">
        <v>360</v>
      </c>
      <c r="E862">
        <v>28369</v>
      </c>
      <c r="F862">
        <v>4200</v>
      </c>
      <c r="G862">
        <v>32569</v>
      </c>
      <c r="H862">
        <v>2154467872.4855099</v>
      </c>
      <c r="I862">
        <v>2266300000</v>
      </c>
      <c r="J862">
        <v>-1.8128535405166256E-2</v>
      </c>
      <c r="K862">
        <v>5772.9269202349096</v>
      </c>
      <c r="L862">
        <v>-4.0483618804135778E-2</v>
      </c>
      <c r="M862">
        <v>6016.4964698570302</v>
      </c>
      <c r="N862">
        <v>1.1476533930581601</v>
      </c>
      <c r="O862">
        <v>97.692273750165498</v>
      </c>
      <c r="P862">
        <v>44.371044888364302</v>
      </c>
      <c r="Q862">
        <v>22.341089261792298</v>
      </c>
      <c r="R862">
        <v>373202</v>
      </c>
      <c r="S862">
        <v>2.3298282173263324E-2</v>
      </c>
      <c r="T862">
        <v>57.786999999999999</v>
      </c>
      <c r="V862">
        <v>38.513827999999997</v>
      </c>
      <c r="W862">
        <v>9.2644339999999996</v>
      </c>
      <c r="X862">
        <v>85.437899999999999</v>
      </c>
      <c r="Y862">
        <v>48.877099999999999</v>
      </c>
      <c r="Z862">
        <v>24.731690676743</v>
      </c>
      <c r="AJ862">
        <v>-0.9746052622795105</v>
      </c>
      <c r="AK862">
        <v>-0.55601555109024048</v>
      </c>
      <c r="AM862">
        <f>VLOOKUP(D862,[1]Sheet1!$C$1:$D$191,2,FALSE)</f>
        <v>112</v>
      </c>
    </row>
    <row r="863" spans="1:39" x14ac:dyDescent="0.35">
      <c r="A863">
        <v>2018</v>
      </c>
      <c r="B863" t="s">
        <v>115</v>
      </c>
      <c r="C863">
        <v>112</v>
      </c>
      <c r="D863" t="s">
        <v>360</v>
      </c>
      <c r="E863">
        <v>39380.548384000002</v>
      </c>
      <c r="F863">
        <v>500</v>
      </c>
      <c r="G863">
        <v>39880.548384000002</v>
      </c>
      <c r="H863">
        <v>2178394773.26969</v>
      </c>
      <c r="I863">
        <v>2293250000</v>
      </c>
      <c r="J863">
        <v>1.11057125008677E-2</v>
      </c>
      <c r="K863">
        <v>5729.2104518620199</v>
      </c>
      <c r="L863">
        <v>-7.5726696313541467E-3</v>
      </c>
      <c r="M863">
        <v>5772.9269202349096</v>
      </c>
      <c r="N863">
        <v>0.26998262264633499</v>
      </c>
      <c r="O863">
        <v>100.66499509429801</v>
      </c>
      <c r="P863">
        <v>45.185859224899197</v>
      </c>
      <c r="R863">
        <v>380226</v>
      </c>
      <c r="S863">
        <v>1.8820906640371702E-2</v>
      </c>
      <c r="T863">
        <v>59.845999999999997</v>
      </c>
      <c r="V863">
        <v>44.556272</v>
      </c>
      <c r="W863">
        <v>6.6594899999999999</v>
      </c>
      <c r="X863">
        <v>82.921700000000001</v>
      </c>
      <c r="Y863">
        <v>53.593600000000002</v>
      </c>
      <c r="Z863">
        <v>24.588344603313899</v>
      </c>
      <c r="AJ863">
        <v>-0.84251654148101807</v>
      </c>
      <c r="AK863">
        <v>-0.66669511795043945</v>
      </c>
      <c r="AM863">
        <f>VLOOKUP(D863,[1]Sheet1!$C$1:$D$191,2,FALSE)</f>
        <v>112</v>
      </c>
    </row>
    <row r="864" spans="1:39" x14ac:dyDescent="0.35">
      <c r="A864">
        <v>2019</v>
      </c>
      <c r="B864" t="s">
        <v>115</v>
      </c>
      <c r="C864">
        <v>112</v>
      </c>
      <c r="D864" t="s">
        <v>360</v>
      </c>
      <c r="E864">
        <v>34594.270527200002</v>
      </c>
      <c r="G864">
        <v>34594.270527200002</v>
      </c>
      <c r="H864">
        <v>2271360752.3582201</v>
      </c>
      <c r="I864">
        <v>2388300000</v>
      </c>
      <c r="J864">
        <v>4.2676368961807397E-2</v>
      </c>
      <c r="K864">
        <v>5886.9622354935</v>
      </c>
      <c r="L864">
        <v>2.7534646345590257E-2</v>
      </c>
      <c r="M864">
        <v>5729.2104518620199</v>
      </c>
      <c r="N864">
        <v>0.18706938518142399</v>
      </c>
      <c r="O864">
        <v>102.12284888833101</v>
      </c>
      <c r="P864">
        <v>45.825775397144398</v>
      </c>
      <c r="R864">
        <v>385829</v>
      </c>
      <c r="S864">
        <v>1.4735972816167228E-2</v>
      </c>
      <c r="T864">
        <v>64.024000000000001</v>
      </c>
      <c r="V864">
        <v>39.723032000000003</v>
      </c>
      <c r="W864">
        <v>6.6256599999999999</v>
      </c>
      <c r="X864">
        <v>83.586690000000004</v>
      </c>
      <c r="Y864">
        <v>58.7652</v>
      </c>
      <c r="Z864">
        <v>25.138736158351001</v>
      </c>
      <c r="AJ864">
        <v>-0.85588359832763672</v>
      </c>
      <c r="AK864">
        <v>-0.55975973606109619</v>
      </c>
      <c r="AM864">
        <f>VLOOKUP(D864,[1]Sheet1!$C$1:$D$191,2,FALSE)</f>
        <v>112</v>
      </c>
    </row>
    <row r="865" spans="1:39" x14ac:dyDescent="0.35">
      <c r="A865">
        <v>2020</v>
      </c>
      <c r="B865" t="s">
        <v>115</v>
      </c>
      <c r="C865">
        <v>112</v>
      </c>
      <c r="D865" t="s">
        <v>360</v>
      </c>
      <c r="E865">
        <v>89538.510462980004</v>
      </c>
      <c r="G865">
        <v>89538.510462980004</v>
      </c>
      <c r="H865">
        <v>1955575509.71701</v>
      </c>
      <c r="I865">
        <v>2042850000</v>
      </c>
      <c r="J865">
        <v>-0.13902910064521845</v>
      </c>
      <c r="K865">
        <v>5003.8778484719296</v>
      </c>
      <c r="L865">
        <v>-0.15000680345752923</v>
      </c>
      <c r="M865">
        <v>5886.9622354935</v>
      </c>
      <c r="N865">
        <v>0.12143464461489401</v>
      </c>
      <c r="O865">
        <v>81.821964412463004</v>
      </c>
      <c r="P865">
        <v>55.197805986734203</v>
      </c>
      <c r="R865">
        <v>390812</v>
      </c>
      <c r="S865">
        <v>1.2915047857988901E-2</v>
      </c>
      <c r="T865">
        <v>68.912999999999997</v>
      </c>
      <c r="V865">
        <v>47.954304999999998</v>
      </c>
      <c r="W865">
        <v>5.9122479999999999</v>
      </c>
      <c r="X865">
        <v>85.921189999999996</v>
      </c>
      <c r="Y865">
        <v>64.435900000000004</v>
      </c>
      <c r="Z865">
        <v>25.942169412004699</v>
      </c>
      <c r="AJ865">
        <v>-0.82653957605361938</v>
      </c>
      <c r="AK865">
        <v>-0.55057954788208008</v>
      </c>
      <c r="AM865">
        <f>VLOOKUP(D865,[1]Sheet1!$C$1:$D$191,2,FALSE)</f>
        <v>112</v>
      </c>
    </row>
    <row r="866" spans="1:39" x14ac:dyDescent="0.35">
      <c r="A866">
        <v>2014</v>
      </c>
      <c r="B866" t="s">
        <v>116</v>
      </c>
      <c r="C866">
        <v>113</v>
      </c>
      <c r="D866" t="s">
        <v>361</v>
      </c>
      <c r="E866">
        <v>2273</v>
      </c>
      <c r="G866">
        <v>2273</v>
      </c>
      <c r="H866">
        <v>1733630380.4449</v>
      </c>
      <c r="I866">
        <v>2041930125.42979</v>
      </c>
      <c r="J866">
        <v>6.9666684011882446E-3</v>
      </c>
      <c r="K866">
        <v>3383.8422809791</v>
      </c>
      <c r="L866">
        <v>6.7681548892663439E-3</v>
      </c>
      <c r="M866">
        <v>3361.09387702205</v>
      </c>
      <c r="N866">
        <v>-0.238778144990624</v>
      </c>
      <c r="O866">
        <v>91.303852411722104</v>
      </c>
      <c r="P866">
        <v>57.650748120597697</v>
      </c>
      <c r="Q866">
        <v>17.9305656018519</v>
      </c>
      <c r="R866">
        <v>512326</v>
      </c>
      <c r="S866">
        <v>1.9717897408365464E-4</v>
      </c>
      <c r="V866">
        <v>47.330792000000002</v>
      </c>
      <c r="W866">
        <v>2.8359839999999998</v>
      </c>
      <c r="X866">
        <v>82.249539999999996</v>
      </c>
      <c r="Y866">
        <v>40.26</v>
      </c>
      <c r="Z866">
        <v>23.2703965538205</v>
      </c>
      <c r="AM866">
        <f>VLOOKUP(D866,[1]Sheet1!$C$1:$D$191,2,FALSE)</f>
        <v>113</v>
      </c>
    </row>
    <row r="867" spans="1:39" x14ac:dyDescent="0.35">
      <c r="A867">
        <v>2015</v>
      </c>
      <c r="B867" t="s">
        <v>116</v>
      </c>
      <c r="C867">
        <v>113</v>
      </c>
      <c r="D867" t="s">
        <v>361</v>
      </c>
      <c r="E867">
        <v>4370</v>
      </c>
      <c r="G867">
        <v>4370</v>
      </c>
      <c r="H867">
        <v>1749857620.3532901</v>
      </c>
      <c r="I867">
        <v>1749857620.3532901</v>
      </c>
      <c r="J867">
        <v>9.3602650780875585E-3</v>
      </c>
      <c r="K867">
        <v>3415.0626673093102</v>
      </c>
      <c r="L867">
        <v>9.2263124985768313E-3</v>
      </c>
      <c r="M867">
        <v>3383.8422809791</v>
      </c>
      <c r="N867">
        <v>0.131187999024545</v>
      </c>
      <c r="O867">
        <v>94.0085301423522</v>
      </c>
      <c r="P867">
        <v>56.411167029839199</v>
      </c>
      <c r="Q867">
        <v>19.303574297294698</v>
      </c>
      <c r="R867">
        <v>512394</v>
      </c>
      <c r="S867">
        <v>1.3272798960037164E-4</v>
      </c>
      <c r="T867">
        <v>68.322999999999993</v>
      </c>
      <c r="V867">
        <v>45.970008</v>
      </c>
      <c r="W867">
        <v>3.5513210000000002</v>
      </c>
      <c r="X867">
        <v>84.710300000000004</v>
      </c>
      <c r="Y867">
        <v>42.683</v>
      </c>
      <c r="Z867">
        <v>22.524027665498998</v>
      </c>
      <c r="AM867">
        <f>VLOOKUP(D867,[1]Sheet1!$C$1:$D$191,2,FALSE)</f>
        <v>113</v>
      </c>
    </row>
    <row r="868" spans="1:39" x14ac:dyDescent="0.35">
      <c r="A868">
        <v>2016</v>
      </c>
      <c r="B868" t="s">
        <v>116</v>
      </c>
      <c r="C868">
        <v>113</v>
      </c>
      <c r="D868" t="s">
        <v>361</v>
      </c>
      <c r="E868">
        <v>6724.8364562788502</v>
      </c>
      <c r="G868">
        <v>6724.8364562788502</v>
      </c>
      <c r="H868">
        <v>1824764034.9525599</v>
      </c>
      <c r="I868">
        <v>1849789992.7426</v>
      </c>
      <c r="J868">
        <v>4.2807148266238097E-2</v>
      </c>
      <c r="K868">
        <v>3560.1400729533998</v>
      </c>
      <c r="L868">
        <v>4.2481623260633886E-2</v>
      </c>
      <c r="M868">
        <v>3415.0626673093102</v>
      </c>
      <c r="N868">
        <v>-1.4078163709170599</v>
      </c>
      <c r="O868">
        <v>95.378139860953297</v>
      </c>
      <c r="P868">
        <v>55.104237005767999</v>
      </c>
      <c r="Q868">
        <v>19.0741910323081</v>
      </c>
      <c r="R868">
        <v>512554</v>
      </c>
      <c r="S868">
        <v>3.1225970639781107E-4</v>
      </c>
      <c r="V868">
        <v>45.717036</v>
      </c>
      <c r="W868">
        <v>3.071593</v>
      </c>
      <c r="X868">
        <v>76.605930000000001</v>
      </c>
      <c r="Y868">
        <v>50.322800000000001</v>
      </c>
      <c r="Z868">
        <v>23.693497522150501</v>
      </c>
      <c r="AM868">
        <f>VLOOKUP(D868,[1]Sheet1!$C$1:$D$191,2,FALSE)</f>
        <v>113</v>
      </c>
    </row>
    <row r="869" spans="1:39" x14ac:dyDescent="0.35">
      <c r="A869">
        <v>2017</v>
      </c>
      <c r="B869" t="s">
        <v>116</v>
      </c>
      <c r="C869">
        <v>113</v>
      </c>
      <c r="D869" t="s">
        <v>361</v>
      </c>
      <c r="E869">
        <v>20</v>
      </c>
      <c r="G869">
        <v>20</v>
      </c>
      <c r="H869">
        <v>1907814790.7283299</v>
      </c>
      <c r="I869">
        <v>1996741544.6157401</v>
      </c>
      <c r="J869">
        <v>4.5513148102970524E-2</v>
      </c>
      <c r="K869">
        <v>3719.71306047915</v>
      </c>
      <c r="L869">
        <v>4.482210931475307E-2</v>
      </c>
      <c r="M869">
        <v>3560.1400729533998</v>
      </c>
      <c r="N869">
        <v>0.78441525110133403</v>
      </c>
      <c r="O869">
        <v>100.052133904219</v>
      </c>
      <c r="P869">
        <v>55.424059542591102</v>
      </c>
      <c r="Q869">
        <v>18.669494591341099</v>
      </c>
      <c r="R869">
        <v>512893</v>
      </c>
      <c r="S869">
        <v>6.6139372631956832E-4</v>
      </c>
      <c r="T869">
        <v>65.64</v>
      </c>
      <c r="V869">
        <v>47.026060999999999</v>
      </c>
      <c r="W869">
        <v>3.9493830000000001</v>
      </c>
      <c r="X869">
        <v>78.074460000000002</v>
      </c>
      <c r="Y869">
        <v>57.162100000000002</v>
      </c>
      <c r="Z869">
        <v>24.559464845985399</v>
      </c>
      <c r="AM869">
        <f>VLOOKUP(D869,[1]Sheet1!$C$1:$D$191,2,FALSE)</f>
        <v>113</v>
      </c>
    </row>
    <row r="870" spans="1:39" x14ac:dyDescent="0.35">
      <c r="A870">
        <v>2014</v>
      </c>
      <c r="B870" t="s">
        <v>117</v>
      </c>
      <c r="C870">
        <v>114</v>
      </c>
      <c r="D870" t="s">
        <v>306</v>
      </c>
      <c r="E870">
        <v>18.801600000000001</v>
      </c>
      <c r="G870">
        <v>18.801600000000001</v>
      </c>
      <c r="H870">
        <v>955071579.822191</v>
      </c>
      <c r="I870">
        <v>1149587661.0069301</v>
      </c>
      <c r="J870">
        <v>2.1066575894246931E-2</v>
      </c>
      <c r="K870">
        <v>1342.3296596390901</v>
      </c>
      <c r="L870">
        <v>-9.0599532964799265E-4</v>
      </c>
      <c r="M870">
        <v>1343.54690686187</v>
      </c>
      <c r="O870">
        <v>39.235823195439202</v>
      </c>
      <c r="P870">
        <v>13.6288653351441</v>
      </c>
      <c r="R870">
        <v>711503</v>
      </c>
      <c r="S870">
        <v>2.1992496322853466E-2</v>
      </c>
      <c r="T870">
        <v>30.420999999999999</v>
      </c>
      <c r="U870">
        <v>3.52</v>
      </c>
      <c r="V870">
        <v>5.0771058</v>
      </c>
      <c r="W870">
        <v>0</v>
      </c>
      <c r="X870">
        <v>0</v>
      </c>
      <c r="Y870">
        <v>6.98</v>
      </c>
      <c r="Z870">
        <v>9.5927242808028002</v>
      </c>
      <c r="AJ870">
        <v>-0.89868682622909546</v>
      </c>
      <c r="AK870">
        <v>-1.123272776603699</v>
      </c>
      <c r="AM870">
        <f>VLOOKUP(D870,[1]Sheet1!$C$1:$D$191,2,FALSE)</f>
        <v>114</v>
      </c>
    </row>
    <row r="871" spans="1:39" x14ac:dyDescent="0.35">
      <c r="A871">
        <v>2014</v>
      </c>
      <c r="B871" t="s">
        <v>118</v>
      </c>
      <c r="C871">
        <v>115</v>
      </c>
      <c r="D871" t="s">
        <v>362</v>
      </c>
      <c r="E871">
        <v>307007.37061008002</v>
      </c>
      <c r="G871">
        <v>307007.37061008002</v>
      </c>
      <c r="H871">
        <v>14507099626.490299</v>
      </c>
      <c r="I871">
        <v>21765453081.982601</v>
      </c>
      <c r="J871">
        <v>4.1506630159648403E-3</v>
      </c>
      <c r="K871">
        <v>10363.4872473549</v>
      </c>
      <c r="L871">
        <v>-3.4305859531294385E-2</v>
      </c>
      <c r="M871">
        <v>10731.6455729191</v>
      </c>
      <c r="N871">
        <v>4.3099986614910701</v>
      </c>
      <c r="O871">
        <v>104.379198671388</v>
      </c>
      <c r="P871">
        <v>8.1084767892960592</v>
      </c>
      <c r="Q871">
        <v>7.0921181135611704</v>
      </c>
      <c r="R871">
        <v>1399828</v>
      </c>
      <c r="S871">
        <v>3.9822673593727022E-2</v>
      </c>
      <c r="U871">
        <v>1.66</v>
      </c>
      <c r="V871">
        <v>5.4373955</v>
      </c>
      <c r="W871">
        <v>0</v>
      </c>
      <c r="X871">
        <v>0</v>
      </c>
      <c r="Y871">
        <v>18.86</v>
      </c>
      <c r="AJ871">
        <v>-1.3171094655990601</v>
      </c>
      <c r="AK871">
        <v>-1.4656635522842409</v>
      </c>
      <c r="AM871">
        <f>VLOOKUP(D871,[1]Sheet1!$C$1:$D$191,2,FALSE)</f>
        <v>115</v>
      </c>
    </row>
    <row r="872" spans="1:39" x14ac:dyDescent="0.35">
      <c r="A872">
        <v>2014</v>
      </c>
      <c r="B872" t="s">
        <v>119</v>
      </c>
      <c r="C872">
        <v>116</v>
      </c>
      <c r="D872" t="s">
        <v>363</v>
      </c>
      <c r="E872">
        <v>1220</v>
      </c>
      <c r="G872">
        <v>1220</v>
      </c>
      <c r="P872">
        <v>53.241077381173</v>
      </c>
      <c r="R872">
        <v>3095173</v>
      </c>
      <c r="S872">
        <v>6.7698642969593673E-3</v>
      </c>
      <c r="U872">
        <v>2.44</v>
      </c>
      <c r="V872">
        <v>0</v>
      </c>
      <c r="W872">
        <v>0</v>
      </c>
      <c r="X872">
        <v>0</v>
      </c>
      <c r="Y872">
        <v>0.99</v>
      </c>
      <c r="Z872">
        <v>4.1287198066711399</v>
      </c>
      <c r="AJ872">
        <v>-1.567037105560303</v>
      </c>
      <c r="AK872">
        <v>-2.0858473777771001</v>
      </c>
      <c r="AL872">
        <v>4.4487074999999987E-2</v>
      </c>
      <c r="AM872">
        <f>VLOOKUP(D872,[1]Sheet1!$C$1:$D$191,2,FALSE)</f>
        <v>116</v>
      </c>
    </row>
    <row r="873" spans="1:39" x14ac:dyDescent="0.35">
      <c r="A873">
        <v>2017</v>
      </c>
      <c r="B873" t="s">
        <v>119</v>
      </c>
      <c r="C873">
        <v>116</v>
      </c>
      <c r="D873" t="s">
        <v>363</v>
      </c>
      <c r="E873">
        <v>8766</v>
      </c>
      <c r="G873">
        <v>8766</v>
      </c>
      <c r="R873">
        <v>3150347</v>
      </c>
      <c r="S873">
        <v>8.2084732668565082E-3</v>
      </c>
      <c r="U873">
        <v>2.37</v>
      </c>
      <c r="V873">
        <v>0</v>
      </c>
      <c r="W873">
        <v>0</v>
      </c>
      <c r="X873">
        <v>0</v>
      </c>
      <c r="Y873">
        <v>2.5</v>
      </c>
      <c r="AJ873">
        <v>-1.5930860042572019</v>
      </c>
      <c r="AK873">
        <v>-2.1708779335021968</v>
      </c>
      <c r="AL873">
        <v>5.6541000000000001E-2</v>
      </c>
      <c r="AM873">
        <f>VLOOKUP(D873,[1]Sheet1!$C$1:$D$191,2,FALSE)</f>
        <v>116</v>
      </c>
    </row>
    <row r="874" spans="1:39" x14ac:dyDescent="0.35">
      <c r="A874">
        <v>2014</v>
      </c>
      <c r="B874" t="s">
        <v>120</v>
      </c>
      <c r="C874">
        <v>117</v>
      </c>
      <c r="D874" t="s">
        <v>307</v>
      </c>
      <c r="E874">
        <v>5978.3850000000002</v>
      </c>
      <c r="G874">
        <v>5978.3850000000002</v>
      </c>
      <c r="H874">
        <v>195012591244.259</v>
      </c>
      <c r="I874">
        <v>233911581521.06201</v>
      </c>
      <c r="J874">
        <v>7.9222503835353567E-3</v>
      </c>
      <c r="K874">
        <v>17903.5252559978</v>
      </c>
      <c r="L874">
        <v>1.4658565283036296E-2</v>
      </c>
      <c r="M874">
        <v>17644.876679283399</v>
      </c>
      <c r="N874">
        <v>-1.31226096405506</v>
      </c>
      <c r="O874">
        <v>66.433568256566701</v>
      </c>
      <c r="P874">
        <v>117.89505718980899</v>
      </c>
      <c r="Q874">
        <v>49.7478747922233</v>
      </c>
      <c r="R874">
        <v>10892413</v>
      </c>
      <c r="S874">
        <v>-6.6389967324842177E-3</v>
      </c>
      <c r="T874">
        <v>33.432000000000002</v>
      </c>
      <c r="U874">
        <v>7.45</v>
      </c>
      <c r="V874">
        <v>59.458469999999998</v>
      </c>
      <c r="W874">
        <v>2.0066709999999999</v>
      </c>
      <c r="X874">
        <v>76.526960000000003</v>
      </c>
      <c r="Y874">
        <v>63.207299999999996</v>
      </c>
      <c r="Z874">
        <v>119.104209899902</v>
      </c>
      <c r="AA874">
        <v>2018</v>
      </c>
      <c r="AB874">
        <v>2019</v>
      </c>
      <c r="AC874">
        <v>0</v>
      </c>
      <c r="AD874">
        <v>0</v>
      </c>
      <c r="AE874">
        <v>1</v>
      </c>
      <c r="AF874">
        <v>1</v>
      </c>
      <c r="AJ874">
        <v>0.37398678064346308</v>
      </c>
      <c r="AK874">
        <v>0.32616448402404791</v>
      </c>
      <c r="AL874">
        <v>6.8330299999999997E-2</v>
      </c>
      <c r="AM874">
        <f>VLOOKUP(D874,[1]Sheet1!$C$1:$D$191,2,FALSE)</f>
        <v>117</v>
      </c>
    </row>
    <row r="875" spans="1:39" x14ac:dyDescent="0.35">
      <c r="A875">
        <v>2015</v>
      </c>
      <c r="B875" t="s">
        <v>120</v>
      </c>
      <c r="C875">
        <v>117</v>
      </c>
      <c r="D875" t="s">
        <v>307</v>
      </c>
      <c r="E875">
        <v>1362808.568967999</v>
      </c>
      <c r="G875">
        <v>1362808.568967999</v>
      </c>
      <c r="H875">
        <v>194567373678.099</v>
      </c>
      <c r="I875">
        <v>194567373678.099</v>
      </c>
      <c r="J875">
        <v>-2.2830195902702279E-3</v>
      </c>
      <c r="K875">
        <v>17980.729823813701</v>
      </c>
      <c r="L875">
        <v>4.312255084513987E-3</v>
      </c>
      <c r="M875">
        <v>17903.5252559978</v>
      </c>
      <c r="N875">
        <v>-1.73588804765284</v>
      </c>
      <c r="O875">
        <v>65.271801139121393</v>
      </c>
      <c r="P875">
        <v>113.433357315224</v>
      </c>
      <c r="Q875">
        <v>52.211734344369098</v>
      </c>
      <c r="R875">
        <v>10820883</v>
      </c>
      <c r="S875">
        <v>-6.5669562841585236E-3</v>
      </c>
      <c r="T875">
        <v>34.268000000000001</v>
      </c>
      <c r="U875">
        <v>7.45</v>
      </c>
      <c r="V875">
        <v>58.677962000000001</v>
      </c>
      <c r="W875">
        <v>2.2641369999999998</v>
      </c>
      <c r="X875">
        <v>98.228200000000001</v>
      </c>
      <c r="Y875">
        <v>66.834999999999994</v>
      </c>
      <c r="AA875">
        <v>2018</v>
      </c>
      <c r="AB875">
        <v>2019</v>
      </c>
      <c r="AC875">
        <v>0</v>
      </c>
      <c r="AD875">
        <v>0</v>
      </c>
      <c r="AE875">
        <v>1</v>
      </c>
      <c r="AF875">
        <v>1</v>
      </c>
      <c r="AJ875">
        <v>0.25249212980270391</v>
      </c>
      <c r="AK875">
        <v>0.39189046621322632</v>
      </c>
      <c r="AL875">
        <v>0.14252029999999999</v>
      </c>
      <c r="AM875">
        <f>VLOOKUP(D875,[1]Sheet1!$C$1:$D$191,2,FALSE)</f>
        <v>117</v>
      </c>
    </row>
    <row r="876" spans="1:39" x14ac:dyDescent="0.35">
      <c r="A876">
        <v>2016</v>
      </c>
      <c r="B876" t="s">
        <v>120</v>
      </c>
      <c r="C876">
        <v>117</v>
      </c>
      <c r="D876" t="s">
        <v>307</v>
      </c>
      <c r="E876">
        <v>2560661.777872778</v>
      </c>
      <c r="G876">
        <v>2560661.777872778</v>
      </c>
      <c r="H876">
        <v>194505510567.85699</v>
      </c>
      <c r="I876">
        <v>193097239005.87</v>
      </c>
      <c r="J876">
        <v>-3.179521266723449E-4</v>
      </c>
      <c r="K876">
        <v>18049.928917575598</v>
      </c>
      <c r="L876">
        <v>3.8485141837930384E-3</v>
      </c>
      <c r="M876">
        <v>17980.729823813701</v>
      </c>
      <c r="N876">
        <v>-0.82565397839097299</v>
      </c>
      <c r="O876">
        <v>63.6576625890375</v>
      </c>
      <c r="P876">
        <v>108.62709749602701</v>
      </c>
      <c r="Q876">
        <v>48.855194452152098</v>
      </c>
      <c r="R876">
        <v>10775971</v>
      </c>
      <c r="S876">
        <v>-4.1504930789844048E-3</v>
      </c>
      <c r="T876">
        <v>33.307000000000002</v>
      </c>
      <c r="U876">
        <v>7.23</v>
      </c>
      <c r="V876">
        <v>59.280200999999998</v>
      </c>
      <c r="W876">
        <v>2.569366</v>
      </c>
      <c r="X876">
        <v>98.184600000000003</v>
      </c>
      <c r="Y876">
        <v>69.087900000000005</v>
      </c>
      <c r="Z876">
        <v>131.40321350097699</v>
      </c>
      <c r="AA876">
        <v>2018</v>
      </c>
      <c r="AB876">
        <v>2019</v>
      </c>
      <c r="AC876">
        <v>0</v>
      </c>
      <c r="AD876">
        <v>0</v>
      </c>
      <c r="AE876">
        <v>1</v>
      </c>
      <c r="AF876">
        <v>1</v>
      </c>
      <c r="AJ876">
        <v>0.1123941689729691</v>
      </c>
      <c r="AK876">
        <v>0.13528887927532199</v>
      </c>
      <c r="AL876">
        <v>0.12030544999999999</v>
      </c>
      <c r="AM876">
        <f>VLOOKUP(D876,[1]Sheet1!$C$1:$D$191,2,FALSE)</f>
        <v>117</v>
      </c>
    </row>
    <row r="877" spans="1:39" x14ac:dyDescent="0.35">
      <c r="A877">
        <v>2017</v>
      </c>
      <c r="B877" t="s">
        <v>120</v>
      </c>
      <c r="C877">
        <v>117</v>
      </c>
      <c r="D877" t="s">
        <v>307</v>
      </c>
      <c r="E877">
        <v>1853599.7374596889</v>
      </c>
      <c r="G877">
        <v>1853599.7374596889</v>
      </c>
      <c r="H877">
        <v>197370819841.30499</v>
      </c>
      <c r="I877">
        <v>200381103984.298</v>
      </c>
      <c r="J877">
        <v>1.4731249850365447E-2</v>
      </c>
      <c r="K877">
        <v>18352.088411128301</v>
      </c>
      <c r="L877">
        <v>1.674020407130156E-2</v>
      </c>
      <c r="M877">
        <v>18049.928917575598</v>
      </c>
      <c r="N877">
        <v>1.1212545203141899</v>
      </c>
      <c r="O877">
        <v>70.882606674157699</v>
      </c>
      <c r="P877">
        <v>100.647509860794</v>
      </c>
      <c r="Q877">
        <v>47.670388743994998</v>
      </c>
      <c r="R877">
        <v>10754679</v>
      </c>
      <c r="S877">
        <v>-1.9758776262482516E-3</v>
      </c>
      <c r="T877">
        <v>32.253</v>
      </c>
      <c r="U877">
        <v>7.29</v>
      </c>
      <c r="V877">
        <v>61.558483000000003</v>
      </c>
      <c r="W877">
        <v>3.1050110000000002</v>
      </c>
      <c r="X877">
        <v>97.931839999999994</v>
      </c>
      <c r="Y877">
        <v>69.893000000000001</v>
      </c>
      <c r="Z877">
        <v>135.33392333984401</v>
      </c>
      <c r="AA877">
        <v>2018</v>
      </c>
      <c r="AB877">
        <v>2019</v>
      </c>
      <c r="AC877">
        <v>0</v>
      </c>
      <c r="AD877">
        <v>0</v>
      </c>
      <c r="AE877">
        <v>1</v>
      </c>
      <c r="AF877">
        <v>1</v>
      </c>
      <c r="AJ877">
        <v>5.0266612321138382E-2</v>
      </c>
      <c r="AK877">
        <v>0.22380830347537989</v>
      </c>
      <c r="AL877">
        <v>7.5540750000000004E-2</v>
      </c>
      <c r="AM877">
        <f>VLOOKUP(D877,[1]Sheet1!$C$1:$D$191,2,FALSE)</f>
        <v>117</v>
      </c>
    </row>
    <row r="878" spans="1:39" x14ac:dyDescent="0.35">
      <c r="A878">
        <v>2018</v>
      </c>
      <c r="B878" t="s">
        <v>120</v>
      </c>
      <c r="C878">
        <v>117</v>
      </c>
      <c r="D878" t="s">
        <v>307</v>
      </c>
      <c r="E878">
        <v>581254.09228985</v>
      </c>
      <c r="G878">
        <v>581254.09228985</v>
      </c>
      <c r="H878">
        <v>201445880947.483</v>
      </c>
      <c r="I878">
        <v>213298873494.39401</v>
      </c>
      <c r="J878">
        <v>2.0646725333838819E-2</v>
      </c>
      <c r="K878">
        <v>18769.039009977299</v>
      </c>
      <c r="L878">
        <v>2.2719517774128013E-2</v>
      </c>
      <c r="M878">
        <v>18352.088411128301</v>
      </c>
      <c r="N878">
        <v>0.62562141345363997</v>
      </c>
      <c r="O878">
        <v>79.238163606370904</v>
      </c>
      <c r="P878">
        <v>91.2069328032117</v>
      </c>
      <c r="Q878">
        <v>48.022415066831201</v>
      </c>
      <c r="R878">
        <v>10732882</v>
      </c>
      <c r="S878">
        <v>-2.0267457541038648E-3</v>
      </c>
      <c r="T878">
        <v>31.158000000000001</v>
      </c>
      <c r="U878">
        <v>7.29</v>
      </c>
      <c r="V878">
        <v>62.281570000000002</v>
      </c>
      <c r="W878">
        <v>2.6806420000000002</v>
      </c>
      <c r="X878">
        <v>97.971140000000005</v>
      </c>
      <c r="Y878">
        <v>72.238399999999999</v>
      </c>
      <c r="Z878">
        <v>140.95031738281199</v>
      </c>
      <c r="AA878">
        <v>2018</v>
      </c>
      <c r="AB878">
        <v>2019</v>
      </c>
      <c r="AC878">
        <v>1</v>
      </c>
      <c r="AD878">
        <v>0</v>
      </c>
      <c r="AE878">
        <v>1</v>
      </c>
      <c r="AF878">
        <v>1</v>
      </c>
      <c r="AG878">
        <v>0</v>
      </c>
      <c r="AJ878">
        <v>0.1130173206329346</v>
      </c>
      <c r="AK878">
        <v>0.40208792686462402</v>
      </c>
      <c r="AL878">
        <v>7.7865450000000003E-2</v>
      </c>
      <c r="AM878">
        <f>VLOOKUP(D878,[1]Sheet1!$C$1:$D$191,2,FALSE)</f>
        <v>117</v>
      </c>
    </row>
    <row r="879" spans="1:39" x14ac:dyDescent="0.35">
      <c r="A879">
        <v>2019</v>
      </c>
      <c r="B879" t="s">
        <v>120</v>
      </c>
      <c r="C879">
        <v>117</v>
      </c>
      <c r="D879" t="s">
        <v>307</v>
      </c>
      <c r="E879">
        <v>948336.46954894008</v>
      </c>
      <c r="F879">
        <v>569310.513255</v>
      </c>
      <c r="G879">
        <v>1517646.9828039401</v>
      </c>
      <c r="H879">
        <v>206033167541.336</v>
      </c>
      <c r="I879">
        <v>207305649887.01901</v>
      </c>
      <c r="J879">
        <v>2.2771806364454302E-2</v>
      </c>
      <c r="K879">
        <v>19216.676003721899</v>
      </c>
      <c r="L879">
        <v>2.3849755627160431E-2</v>
      </c>
      <c r="M879">
        <v>18769.039009977299</v>
      </c>
      <c r="N879">
        <v>0.25300752203815702</v>
      </c>
      <c r="O879">
        <v>80.590100891172995</v>
      </c>
      <c r="P879">
        <v>80.212239670206301</v>
      </c>
      <c r="Q879">
        <v>46.923765998619203</v>
      </c>
      <c r="R879">
        <v>10721582</v>
      </c>
      <c r="S879">
        <v>-1.0528393026216071E-3</v>
      </c>
      <c r="T879">
        <v>28.76</v>
      </c>
      <c r="U879">
        <v>7.43</v>
      </c>
      <c r="V879">
        <v>63.368974000000001</v>
      </c>
      <c r="W879">
        <v>2.7043020000000002</v>
      </c>
      <c r="X879">
        <v>97.789490000000001</v>
      </c>
      <c r="Y879">
        <v>75.671199999999999</v>
      </c>
      <c r="Z879">
        <v>143.96272277832</v>
      </c>
      <c r="AA879">
        <v>2018</v>
      </c>
      <c r="AB879">
        <v>2019</v>
      </c>
      <c r="AC879">
        <v>1</v>
      </c>
      <c r="AD879">
        <v>1</v>
      </c>
      <c r="AE879">
        <v>1</v>
      </c>
      <c r="AF879">
        <v>1</v>
      </c>
      <c r="AG879">
        <v>1</v>
      </c>
      <c r="AH879">
        <v>0</v>
      </c>
      <c r="AJ879">
        <v>0.15807260572910309</v>
      </c>
      <c r="AK879">
        <v>0.51732581853866577</v>
      </c>
      <c r="AL879">
        <v>0.10040995</v>
      </c>
      <c r="AM879">
        <f>VLOOKUP(D879,[1]Sheet1!$C$1:$D$191,2,FALSE)</f>
        <v>117</v>
      </c>
    </row>
    <row r="880" spans="1:39" x14ac:dyDescent="0.35">
      <c r="A880">
        <v>2020</v>
      </c>
      <c r="B880" t="s">
        <v>120</v>
      </c>
      <c r="C880">
        <v>117</v>
      </c>
      <c r="D880" t="s">
        <v>307</v>
      </c>
      <c r="E880">
        <v>3631371.5886698919</v>
      </c>
      <c r="F880">
        <v>8817426.8609999996</v>
      </c>
      <c r="G880">
        <v>12448798.449669892</v>
      </c>
      <c r="H880">
        <v>187085880547.56</v>
      </c>
      <c r="I880">
        <v>191362985554.86099</v>
      </c>
      <c r="J880">
        <v>-9.196231470826001E-2</v>
      </c>
      <c r="K880">
        <v>17486.951380041501</v>
      </c>
      <c r="L880">
        <v>-9.0011645268171472E-2</v>
      </c>
      <c r="M880">
        <v>19216.676003721899</v>
      </c>
      <c r="N880">
        <v>-1.24798355581405</v>
      </c>
      <c r="O880">
        <v>70.293786448639494</v>
      </c>
      <c r="P880">
        <v>81.270975125999797</v>
      </c>
      <c r="Q880">
        <v>58.0674942612644</v>
      </c>
      <c r="R880">
        <v>10698599</v>
      </c>
      <c r="S880">
        <v>-2.1436202232095972E-3</v>
      </c>
      <c r="T880">
        <v>26.873000000000001</v>
      </c>
      <c r="U880">
        <v>7.39</v>
      </c>
      <c r="V880">
        <v>63.87641</v>
      </c>
      <c r="W880">
        <v>3.2866930000000001</v>
      </c>
      <c r="X880">
        <v>93.505920000000003</v>
      </c>
      <c r="Y880">
        <v>78.115799999999993</v>
      </c>
      <c r="Z880">
        <v>143.69334411621099</v>
      </c>
      <c r="AA880">
        <v>2018</v>
      </c>
      <c r="AB880">
        <v>2019</v>
      </c>
      <c r="AC880">
        <v>1</v>
      </c>
      <c r="AD880">
        <v>1</v>
      </c>
      <c r="AE880">
        <v>1</v>
      </c>
      <c r="AF880">
        <v>1</v>
      </c>
      <c r="AG880">
        <v>2</v>
      </c>
      <c r="AH880">
        <v>1</v>
      </c>
      <c r="AJ880">
        <v>0.28897303342819208</v>
      </c>
      <c r="AK880">
        <v>0.53649765253067017</v>
      </c>
      <c r="AL880">
        <v>0.1270338</v>
      </c>
      <c r="AM880">
        <f>VLOOKUP(D880,[1]Sheet1!$C$1:$D$191,2,FALSE)</f>
        <v>117</v>
      </c>
    </row>
    <row r="881" spans="1:39" x14ac:dyDescent="0.35">
      <c r="A881">
        <v>2014</v>
      </c>
      <c r="B881" t="s">
        <v>121</v>
      </c>
      <c r="C881">
        <v>118</v>
      </c>
      <c r="D881" t="s">
        <v>416</v>
      </c>
      <c r="E881">
        <v>10002</v>
      </c>
      <c r="G881">
        <v>10002</v>
      </c>
      <c r="H881">
        <v>1085781367.43837</v>
      </c>
      <c r="I881">
        <v>1135250721.0374</v>
      </c>
      <c r="J881">
        <v>9.6452574584121892E-3</v>
      </c>
      <c r="K881">
        <v>623.61015910336505</v>
      </c>
      <c r="L881">
        <v>-1.6535833659261229E-2</v>
      </c>
      <c r="M881">
        <v>634.09545608935196</v>
      </c>
      <c r="N881">
        <v>-1.5092446057050299</v>
      </c>
      <c r="O881">
        <v>46.869658305523799</v>
      </c>
      <c r="P881">
        <v>13.433899612692599</v>
      </c>
      <c r="R881">
        <v>1741122</v>
      </c>
      <c r="S881">
        <v>2.6621296447525991E-2</v>
      </c>
      <c r="U881">
        <v>1.93</v>
      </c>
      <c r="V881">
        <v>1.8685768</v>
      </c>
      <c r="W881">
        <v>0</v>
      </c>
      <c r="X881">
        <v>0</v>
      </c>
      <c r="Y881">
        <v>6.4</v>
      </c>
      <c r="Z881">
        <v>10.8547201156616</v>
      </c>
      <c r="AJ881">
        <v>-1.3387714624404909</v>
      </c>
      <c r="AK881">
        <v>-1.212226986885071</v>
      </c>
      <c r="AL881">
        <v>0.111734075</v>
      </c>
      <c r="AM881" t="e">
        <f>VLOOKUP(D881,[1]Sheet1!$C$1:$D$191,2,FALSE)</f>
        <v>#N/A</v>
      </c>
    </row>
    <row r="882" spans="1:39" x14ac:dyDescent="0.35">
      <c r="A882">
        <v>2015</v>
      </c>
      <c r="B882" t="s">
        <v>121</v>
      </c>
      <c r="C882">
        <v>118</v>
      </c>
      <c r="D882" t="s">
        <v>416</v>
      </c>
      <c r="E882">
        <v>457.32</v>
      </c>
      <c r="G882">
        <v>457.32</v>
      </c>
      <c r="H882">
        <v>1152384166.79638</v>
      </c>
      <c r="I882">
        <v>1152384166.79638</v>
      </c>
      <c r="J882">
        <v>6.1340893623126662E-2</v>
      </c>
      <c r="K882">
        <v>645.06683720703904</v>
      </c>
      <c r="L882">
        <v>3.4407197814937285E-2</v>
      </c>
      <c r="M882">
        <v>623.61015910336505</v>
      </c>
      <c r="N882">
        <v>1.4767204891049399</v>
      </c>
      <c r="O882">
        <v>54.3703755891285</v>
      </c>
      <c r="P882">
        <v>7.7799563478297502</v>
      </c>
      <c r="R882">
        <v>1786457</v>
      </c>
      <c r="S882">
        <v>2.6037807804392799E-2</v>
      </c>
      <c r="U882">
        <v>1.93</v>
      </c>
      <c r="V882">
        <v>2.2916091999999999</v>
      </c>
      <c r="W882">
        <v>9.1037990000000004</v>
      </c>
      <c r="X882">
        <v>74.018519999999995</v>
      </c>
      <c r="Y882">
        <v>9.1999999999999993</v>
      </c>
      <c r="AJ882">
        <v>-1.3125401735305791</v>
      </c>
      <c r="AK882">
        <v>-1.2345982789993291</v>
      </c>
      <c r="AL882">
        <v>7.0402674999999998E-2</v>
      </c>
      <c r="AM882" t="e">
        <f>VLOOKUP(D882,[1]Sheet1!$C$1:$D$191,2,FALSE)</f>
        <v>#N/A</v>
      </c>
    </row>
    <row r="883" spans="1:39" x14ac:dyDescent="0.35">
      <c r="A883">
        <v>2014</v>
      </c>
      <c r="B883" t="s">
        <v>122</v>
      </c>
      <c r="C883">
        <v>119</v>
      </c>
      <c r="D883" t="s">
        <v>308</v>
      </c>
      <c r="F883">
        <v>10628.24</v>
      </c>
      <c r="G883">
        <v>10628.24</v>
      </c>
      <c r="H883">
        <v>242659427386.76599</v>
      </c>
      <c r="I883">
        <v>266787238499.03</v>
      </c>
      <c r="J883">
        <v>9.3360337286860745E-2</v>
      </c>
      <c r="K883">
        <v>52098.104957933698</v>
      </c>
      <c r="L883">
        <v>8.5396999684908825E-2</v>
      </c>
      <c r="M883">
        <v>47999.123798073699</v>
      </c>
      <c r="N883">
        <v>0.19091639871374499</v>
      </c>
      <c r="O883">
        <v>201.65495992180001</v>
      </c>
      <c r="P883">
        <v>78.280225459757304</v>
      </c>
      <c r="Q883">
        <v>34.355299741965197</v>
      </c>
      <c r="R883">
        <v>4657740</v>
      </c>
      <c r="S883">
        <v>7.3367971389864993E-3</v>
      </c>
      <c r="T883">
        <v>33.478000000000002</v>
      </c>
      <c r="U883">
        <v>8.7200000000000006</v>
      </c>
      <c r="V883">
        <v>98.750793000000002</v>
      </c>
      <c r="W883">
        <v>0</v>
      </c>
      <c r="X883">
        <v>83.204009999999997</v>
      </c>
      <c r="Y883">
        <v>83.491699999999994</v>
      </c>
      <c r="Z883">
        <v>73.813232421875</v>
      </c>
      <c r="AA883">
        <v>2018</v>
      </c>
      <c r="AB883">
        <v>2019</v>
      </c>
      <c r="AC883">
        <v>0</v>
      </c>
      <c r="AD883">
        <v>0</v>
      </c>
      <c r="AE883">
        <v>1</v>
      </c>
      <c r="AF883">
        <v>1</v>
      </c>
      <c r="AJ883">
        <v>1.7605863809585569</v>
      </c>
      <c r="AK883">
        <v>1.7587318420410161</v>
      </c>
      <c r="AL883">
        <v>5.7959950000000003E-2</v>
      </c>
      <c r="AM883">
        <f>VLOOKUP(D883,[1]Sheet1!$C$1:$D$191,2,FALSE)</f>
        <v>119</v>
      </c>
    </row>
    <row r="884" spans="1:39" x14ac:dyDescent="0.35">
      <c r="A884">
        <v>2015</v>
      </c>
      <c r="B884" t="s">
        <v>122</v>
      </c>
      <c r="C884">
        <v>119</v>
      </c>
      <c r="D884" t="s">
        <v>308</v>
      </c>
      <c r="E884">
        <v>1529406.5238479991</v>
      </c>
      <c r="F884">
        <v>2220121.9999999888</v>
      </c>
      <c r="G884">
        <v>3749528.5238479879</v>
      </c>
      <c r="H884">
        <v>302391428540.03497</v>
      </c>
      <c r="I884">
        <v>302391428540.03497</v>
      </c>
      <c r="J884">
        <v>0.24615569976625853</v>
      </c>
      <c r="K884">
        <v>64311.823468405702</v>
      </c>
      <c r="L884">
        <v>0.23443690553301119</v>
      </c>
      <c r="M884">
        <v>52098.104957933698</v>
      </c>
      <c r="N884">
        <v>-0.330959783371788</v>
      </c>
      <c r="O884">
        <v>216.20567734979701</v>
      </c>
      <c r="P884">
        <v>51.216625459361502</v>
      </c>
      <c r="Q884">
        <v>26.563240745368301</v>
      </c>
      <c r="R884">
        <v>4701957</v>
      </c>
      <c r="S884">
        <v>9.4932306225766136E-3</v>
      </c>
      <c r="T884">
        <v>33.151000000000003</v>
      </c>
      <c r="U884">
        <v>8.85</v>
      </c>
      <c r="V884">
        <v>92.064487999999997</v>
      </c>
      <c r="W884">
        <v>0.99015520000000001</v>
      </c>
      <c r="X884">
        <v>68.101950000000002</v>
      </c>
      <c r="Y884">
        <v>83.494799999999998</v>
      </c>
      <c r="Z884">
        <v>77.232147216796903</v>
      </c>
      <c r="AA884">
        <v>2018</v>
      </c>
      <c r="AB884">
        <v>2019</v>
      </c>
      <c r="AC884">
        <v>0</v>
      </c>
      <c r="AD884">
        <v>0</v>
      </c>
      <c r="AE884">
        <v>1</v>
      </c>
      <c r="AF884">
        <v>1</v>
      </c>
      <c r="AJ884">
        <v>1.728361248970032</v>
      </c>
      <c r="AK884">
        <v>1.8081150054931641</v>
      </c>
      <c r="AL884">
        <v>7.4641800000000008E-2</v>
      </c>
      <c r="AM884">
        <f>VLOOKUP(D884,[1]Sheet1!$C$1:$D$191,2,FALSE)</f>
        <v>119</v>
      </c>
    </row>
    <row r="885" spans="1:39" x14ac:dyDescent="0.35">
      <c r="A885">
        <v>2016</v>
      </c>
      <c r="B885" t="s">
        <v>122</v>
      </c>
      <c r="C885">
        <v>119</v>
      </c>
      <c r="D885" t="s">
        <v>308</v>
      </c>
      <c r="E885">
        <v>1982620.6640413511</v>
      </c>
      <c r="F885">
        <v>82998450</v>
      </c>
      <c r="G885">
        <v>84981070.664041355</v>
      </c>
      <c r="H885">
        <v>306088582898.58801</v>
      </c>
      <c r="I885">
        <v>305733136180.90698</v>
      </c>
      <c r="J885">
        <v>1.2226386099642888E-2</v>
      </c>
      <c r="K885">
        <v>64367.406901635302</v>
      </c>
      <c r="L885">
        <v>8.6428016237024023E-4</v>
      </c>
      <c r="M885">
        <v>64311.823468405702</v>
      </c>
      <c r="N885">
        <v>2.0124773596323701E-2</v>
      </c>
      <c r="O885">
        <v>229.764433064961</v>
      </c>
      <c r="P885">
        <v>47.340051271683897</v>
      </c>
      <c r="Q885">
        <v>25.714075612202102</v>
      </c>
      <c r="R885">
        <v>4755335</v>
      </c>
      <c r="S885">
        <v>1.1352294374448766E-2</v>
      </c>
      <c r="T885">
        <v>33.061999999999998</v>
      </c>
      <c r="U885">
        <v>9.15</v>
      </c>
      <c r="V885">
        <v>90.652645000000007</v>
      </c>
      <c r="W885">
        <v>1.0554399999999999</v>
      </c>
      <c r="X885">
        <v>65.144940000000005</v>
      </c>
      <c r="Y885">
        <v>83.5</v>
      </c>
      <c r="Z885">
        <v>77.557136535644503</v>
      </c>
      <c r="AA885">
        <v>2018</v>
      </c>
      <c r="AB885">
        <v>2019</v>
      </c>
      <c r="AC885">
        <v>0</v>
      </c>
      <c r="AD885">
        <v>0</v>
      </c>
      <c r="AE885">
        <v>1</v>
      </c>
      <c r="AF885">
        <v>1</v>
      </c>
      <c r="AJ885">
        <v>1.466212272644043</v>
      </c>
      <c r="AK885">
        <v>1.729347944259644</v>
      </c>
      <c r="AL885">
        <v>0.108809725</v>
      </c>
      <c r="AM885">
        <f>VLOOKUP(D885,[1]Sheet1!$C$1:$D$191,2,FALSE)</f>
        <v>119</v>
      </c>
    </row>
    <row r="886" spans="1:39" x14ac:dyDescent="0.35">
      <c r="A886">
        <v>2017</v>
      </c>
      <c r="B886" t="s">
        <v>122</v>
      </c>
      <c r="C886">
        <v>119</v>
      </c>
      <c r="D886" t="s">
        <v>308</v>
      </c>
      <c r="E886">
        <v>1132043.8253448771</v>
      </c>
      <c r="F886">
        <v>119534474.23791</v>
      </c>
      <c r="G886">
        <v>120666518.06325488</v>
      </c>
      <c r="H886">
        <v>336849348481.59698</v>
      </c>
      <c r="I886">
        <v>348532394023.59497</v>
      </c>
      <c r="J886">
        <v>0.10049628539461239</v>
      </c>
      <c r="K886">
        <v>70069.099577899105</v>
      </c>
      <c r="L886">
        <v>8.8580431474845497E-2</v>
      </c>
      <c r="M886">
        <v>64367.406901635302</v>
      </c>
      <c r="N886">
        <v>0.36217303822937802</v>
      </c>
      <c r="O886">
        <v>225.95360255309501</v>
      </c>
      <c r="P886">
        <v>42.601066154609398</v>
      </c>
      <c r="Q886">
        <v>23.736095415575399</v>
      </c>
      <c r="R886">
        <v>4807388</v>
      </c>
      <c r="S886">
        <v>1.0946231968935943E-2</v>
      </c>
      <c r="T886">
        <v>31.201000000000001</v>
      </c>
      <c r="U886">
        <v>9.15</v>
      </c>
      <c r="V886">
        <v>89.576751999999999</v>
      </c>
      <c r="W886">
        <v>1.064881</v>
      </c>
      <c r="X886">
        <v>59.773490000000002</v>
      </c>
      <c r="Y886">
        <v>84.114000000000004</v>
      </c>
      <c r="Z886">
        <v>77.780616760253906</v>
      </c>
      <c r="AA886">
        <v>2018</v>
      </c>
      <c r="AB886">
        <v>2019</v>
      </c>
      <c r="AC886">
        <v>0</v>
      </c>
      <c r="AD886">
        <v>0</v>
      </c>
      <c r="AE886">
        <v>1</v>
      </c>
      <c r="AF886">
        <v>1</v>
      </c>
      <c r="AJ886">
        <v>1.3812212944030759</v>
      </c>
      <c r="AK886">
        <v>1.575309157371521</v>
      </c>
      <c r="AL886">
        <v>0.167577475</v>
      </c>
      <c r="AM886">
        <f>VLOOKUP(D886,[1]Sheet1!$C$1:$D$191,2,FALSE)</f>
        <v>119</v>
      </c>
    </row>
    <row r="887" spans="1:39" x14ac:dyDescent="0.35">
      <c r="A887">
        <v>2018</v>
      </c>
      <c r="B887" t="s">
        <v>122</v>
      </c>
      <c r="C887">
        <v>119</v>
      </c>
      <c r="D887" t="s">
        <v>308</v>
      </c>
      <c r="E887">
        <v>988976.570756</v>
      </c>
      <c r="F887">
        <v>18898400</v>
      </c>
      <c r="G887">
        <v>19887376.570756</v>
      </c>
      <c r="H887">
        <v>362262415044.573</v>
      </c>
      <c r="I887">
        <v>395461216460.41803</v>
      </c>
      <c r="J887">
        <v>7.5443419076003937E-2</v>
      </c>
      <c r="K887">
        <v>74427.552072758903</v>
      </c>
      <c r="L887">
        <v>6.2202204982159094E-2</v>
      </c>
      <c r="M887">
        <v>70069.099577899105</v>
      </c>
      <c r="N887">
        <v>0.47113071371291598</v>
      </c>
      <c r="O887">
        <v>216.42364773472201</v>
      </c>
      <c r="P887">
        <v>39.749959617398801</v>
      </c>
      <c r="Q887">
        <v>23.073079952408001</v>
      </c>
      <c r="R887">
        <v>4867316</v>
      </c>
      <c r="S887">
        <v>1.2465813036101933E-2</v>
      </c>
      <c r="T887">
        <v>30.574000000000002</v>
      </c>
      <c r="U887">
        <v>9.15</v>
      </c>
      <c r="V887">
        <v>78.789186999999998</v>
      </c>
      <c r="W887">
        <v>1.175956</v>
      </c>
      <c r="X887">
        <v>63.748199999999997</v>
      </c>
      <c r="Y887">
        <v>87.000100000000003</v>
      </c>
      <c r="Z887">
        <v>77.282882690429702</v>
      </c>
      <c r="AA887">
        <v>2018</v>
      </c>
      <c r="AB887">
        <v>2019</v>
      </c>
      <c r="AC887">
        <v>1</v>
      </c>
      <c r="AD887">
        <v>0</v>
      </c>
      <c r="AE887">
        <v>1</v>
      </c>
      <c r="AF887">
        <v>1</v>
      </c>
      <c r="AG887">
        <v>0</v>
      </c>
      <c r="AJ887">
        <v>1.412509441375732</v>
      </c>
      <c r="AK887">
        <v>1.619364976882935</v>
      </c>
      <c r="AL887">
        <v>8.8621475000000005E-2</v>
      </c>
      <c r="AM887">
        <f>VLOOKUP(D887,[1]Sheet1!$C$1:$D$191,2,FALSE)</f>
        <v>119</v>
      </c>
    </row>
    <row r="888" spans="1:39" x14ac:dyDescent="0.35">
      <c r="A888">
        <v>2019</v>
      </c>
      <c r="B888" t="s">
        <v>122</v>
      </c>
      <c r="C888">
        <v>119</v>
      </c>
      <c r="D888" t="s">
        <v>308</v>
      </c>
      <c r="E888">
        <v>14674221.817441391</v>
      </c>
      <c r="F888">
        <v>17787906.02060109</v>
      </c>
      <c r="G888">
        <v>32462127.838042479</v>
      </c>
      <c r="H888">
        <v>380522434249.48297</v>
      </c>
      <c r="I888">
        <v>407124824064.995</v>
      </c>
      <c r="J888">
        <v>5.0405502880179413E-2</v>
      </c>
      <c r="K888">
        <v>77117.189786168601</v>
      </c>
      <c r="L888">
        <v>3.613766190751997E-2</v>
      </c>
      <c r="M888">
        <v>74427.552072758903</v>
      </c>
      <c r="N888">
        <v>0.93784296118927402</v>
      </c>
      <c r="O888">
        <v>249.74576568224799</v>
      </c>
      <c r="P888">
        <v>36.062974358538398</v>
      </c>
      <c r="Q888">
        <v>22.003182627879699</v>
      </c>
      <c r="R888">
        <v>4934340</v>
      </c>
      <c r="S888">
        <v>1.3770217507965376E-2</v>
      </c>
      <c r="T888">
        <v>30.96</v>
      </c>
      <c r="U888">
        <v>9.24</v>
      </c>
      <c r="V888">
        <v>73.405643999999995</v>
      </c>
      <c r="W888">
        <v>1.3437790000000001</v>
      </c>
      <c r="X888">
        <v>65.794780000000003</v>
      </c>
      <c r="Y888">
        <v>87.000100000000003</v>
      </c>
      <c r="Z888">
        <v>75.179939270019503</v>
      </c>
      <c r="AA888">
        <v>2018</v>
      </c>
      <c r="AB888">
        <v>2019</v>
      </c>
      <c r="AC888">
        <v>1</v>
      </c>
      <c r="AD888">
        <v>1</v>
      </c>
      <c r="AE888">
        <v>1</v>
      </c>
      <c r="AF888">
        <v>1</v>
      </c>
      <c r="AG888">
        <v>1</v>
      </c>
      <c r="AH888">
        <v>0</v>
      </c>
      <c r="AJ888">
        <v>1.348281621932983</v>
      </c>
      <c r="AK888">
        <v>1.590879559516907</v>
      </c>
      <c r="AL888">
        <v>0.31823752500000002</v>
      </c>
      <c r="AM888">
        <f>VLOOKUP(D888,[1]Sheet1!$C$1:$D$191,2,FALSE)</f>
        <v>119</v>
      </c>
    </row>
    <row r="889" spans="1:39" x14ac:dyDescent="0.35">
      <c r="A889">
        <v>2020</v>
      </c>
      <c r="B889" t="s">
        <v>122</v>
      </c>
      <c r="C889">
        <v>119</v>
      </c>
      <c r="D889" t="s">
        <v>308</v>
      </c>
      <c r="E889">
        <v>134349559.91260111</v>
      </c>
      <c r="F889">
        <v>20405683.918216001</v>
      </c>
      <c r="G889">
        <v>154755243.83081707</v>
      </c>
      <c r="H889">
        <v>407759845120.69098</v>
      </c>
      <c r="I889">
        <v>436555518400.45099</v>
      </c>
      <c r="J889">
        <v>7.1578988305720417E-2</v>
      </c>
      <c r="K889">
        <v>81791.093464992504</v>
      </c>
      <c r="L889">
        <v>6.0607806012949315E-2</v>
      </c>
      <c r="M889">
        <v>77117.189786168601</v>
      </c>
      <c r="N889">
        <v>-0.32618365128003302</v>
      </c>
      <c r="O889">
        <v>250.10845231469</v>
      </c>
      <c r="P889">
        <v>32.2997621376255</v>
      </c>
      <c r="Q889">
        <v>25.094426478140001</v>
      </c>
      <c r="R889">
        <v>4985382</v>
      </c>
      <c r="S889">
        <v>1.0344240567127518E-2</v>
      </c>
      <c r="T889">
        <v>28.681999999999999</v>
      </c>
      <c r="U889">
        <v>9.0500000000000007</v>
      </c>
      <c r="V889">
        <v>60.019584000000002</v>
      </c>
      <c r="W889">
        <v>0</v>
      </c>
      <c r="X889">
        <v>70.025199999999998</v>
      </c>
      <c r="Y889">
        <v>91.999899999999997</v>
      </c>
      <c r="Z889">
        <v>74.680313110351605</v>
      </c>
      <c r="AA889">
        <v>2018</v>
      </c>
      <c r="AB889">
        <v>2019</v>
      </c>
      <c r="AC889">
        <v>1</v>
      </c>
      <c r="AD889">
        <v>1</v>
      </c>
      <c r="AE889">
        <v>1</v>
      </c>
      <c r="AF889">
        <v>1</v>
      </c>
      <c r="AG889">
        <v>2</v>
      </c>
      <c r="AH889">
        <v>1</v>
      </c>
      <c r="AJ889">
        <v>1.456300735473633</v>
      </c>
      <c r="AK889">
        <v>1.4674471616745</v>
      </c>
      <c r="AL889">
        <v>0.21997449999999999</v>
      </c>
      <c r="AM889">
        <f>VLOOKUP(D889,[1]Sheet1!$C$1:$D$191,2,FALSE)</f>
        <v>119</v>
      </c>
    </row>
    <row r="890" spans="1:39" x14ac:dyDescent="0.35">
      <c r="A890">
        <v>2014</v>
      </c>
      <c r="B890" t="s">
        <v>123</v>
      </c>
      <c r="C890">
        <v>120</v>
      </c>
      <c r="D890" t="s">
        <v>309</v>
      </c>
      <c r="E890">
        <v>1825</v>
      </c>
      <c r="G890">
        <v>1825</v>
      </c>
      <c r="H890">
        <v>2288201773.0760498</v>
      </c>
      <c r="I890">
        <v>2441063054.05792</v>
      </c>
      <c r="J890">
        <v>1.7105499054547526E-2</v>
      </c>
      <c r="K890">
        <v>1100.0499368421499</v>
      </c>
      <c r="L890">
        <v>5.5730919338866916E-3</v>
      </c>
      <c r="M890">
        <v>1093.95323489272</v>
      </c>
      <c r="N890">
        <v>5.3702896100858704</v>
      </c>
      <c r="O890">
        <v>126.292475360578</v>
      </c>
      <c r="P890">
        <v>19.331501843702501</v>
      </c>
      <c r="Q890">
        <v>38.321921816639602</v>
      </c>
      <c r="R890">
        <v>2080089</v>
      </c>
      <c r="S890">
        <v>1.1468492159509536E-2</v>
      </c>
      <c r="U890">
        <v>6.66</v>
      </c>
      <c r="V890">
        <v>11.162364</v>
      </c>
      <c r="W890">
        <v>8.4189720000000001</v>
      </c>
      <c r="X890">
        <v>100</v>
      </c>
      <c r="Y890">
        <v>22</v>
      </c>
      <c r="Z890">
        <v>10.4168970963646</v>
      </c>
      <c r="AJ890">
        <v>-0.2097055912017822</v>
      </c>
      <c r="AK890">
        <v>-0.44416099786758417</v>
      </c>
      <c r="AL890">
        <v>0.20185210000000001</v>
      </c>
      <c r="AM890">
        <f>VLOOKUP(D890,[1]Sheet1!$C$1:$D$191,2,FALSE)</f>
        <v>120</v>
      </c>
    </row>
    <row r="891" spans="1:39" x14ac:dyDescent="0.35">
      <c r="A891">
        <v>2015</v>
      </c>
      <c r="B891" t="s">
        <v>123</v>
      </c>
      <c r="C891">
        <v>120</v>
      </c>
      <c r="D891" t="s">
        <v>309</v>
      </c>
      <c r="E891">
        <v>109584.6847510349</v>
      </c>
      <c r="F891">
        <v>23400</v>
      </c>
      <c r="G891">
        <v>132984.68475103489</v>
      </c>
      <c r="H891">
        <v>2359686724.53829</v>
      </c>
      <c r="I891">
        <v>2359686724.53829</v>
      </c>
      <c r="J891">
        <v>3.1240667804457809E-2</v>
      </c>
      <c r="K891">
        <v>1121.19851342518</v>
      </c>
      <c r="L891">
        <v>1.9225105947226394E-2</v>
      </c>
      <c r="M891">
        <v>1100.0499368421499</v>
      </c>
      <c r="N891">
        <v>3.2184451365593101</v>
      </c>
      <c r="O891">
        <v>129.72277308286701</v>
      </c>
      <c r="P891">
        <v>18.273636699677802</v>
      </c>
      <c r="Q891">
        <v>38.244040678083898</v>
      </c>
      <c r="R891">
        <v>2104611</v>
      </c>
      <c r="S891">
        <v>1.178891864723096E-2</v>
      </c>
      <c r="U891">
        <v>6.59</v>
      </c>
      <c r="V891">
        <v>12.980885000000001</v>
      </c>
      <c r="W891">
        <v>6.7914630000000002</v>
      </c>
      <c r="X891">
        <v>96.800139999999999</v>
      </c>
      <c r="Y891">
        <v>25</v>
      </c>
      <c r="Z891">
        <v>9.7251775437462396</v>
      </c>
      <c r="AJ891">
        <v>-0.19423890113830569</v>
      </c>
      <c r="AK891">
        <v>-0.46205177903175348</v>
      </c>
      <c r="AL891">
        <v>9.8281650000000012E-2</v>
      </c>
      <c r="AM891">
        <f>VLOOKUP(D891,[1]Sheet1!$C$1:$D$191,2,FALSE)</f>
        <v>120</v>
      </c>
    </row>
    <row r="892" spans="1:39" x14ac:dyDescent="0.35">
      <c r="A892">
        <v>2016</v>
      </c>
      <c r="B892" t="s">
        <v>123</v>
      </c>
      <c r="C892">
        <v>120</v>
      </c>
      <c r="D892" t="s">
        <v>309</v>
      </c>
      <c r="E892">
        <v>23852.3947533918</v>
      </c>
      <c r="F892">
        <v>196475</v>
      </c>
      <c r="G892">
        <v>220327.3947533918</v>
      </c>
      <c r="H892">
        <v>2444845631.3955302</v>
      </c>
      <c r="I892">
        <v>2114426452.2019</v>
      </c>
      <c r="J892">
        <v>3.6089073168771114E-2</v>
      </c>
      <c r="K892">
        <v>1147.58748801671</v>
      </c>
      <c r="L892">
        <v>2.3536398127137797E-2</v>
      </c>
      <c r="M892">
        <v>1121.19851342518</v>
      </c>
      <c r="N892">
        <v>6.5965049069654302</v>
      </c>
      <c r="O892">
        <v>136.31524774176</v>
      </c>
      <c r="P892">
        <v>18.212893461314799</v>
      </c>
      <c r="Q892">
        <v>40.584462806328801</v>
      </c>
      <c r="R892">
        <v>2130422</v>
      </c>
      <c r="S892">
        <v>1.2264024088061879E-2</v>
      </c>
      <c r="U892">
        <v>6.59</v>
      </c>
      <c r="V892">
        <v>14.722799999999999</v>
      </c>
      <c r="W892">
        <v>9.6630269999999996</v>
      </c>
      <c r="X892">
        <v>93.872060000000005</v>
      </c>
      <c r="Y892">
        <v>32.453899999999997</v>
      </c>
      <c r="AJ892">
        <v>-0.18632917106151581</v>
      </c>
      <c r="AK892">
        <v>-0.45940354466438288</v>
      </c>
      <c r="AL892">
        <v>0.1163478</v>
      </c>
      <c r="AM892">
        <f>VLOOKUP(D892,[1]Sheet1!$C$1:$D$191,2,FALSE)</f>
        <v>120</v>
      </c>
    </row>
    <row r="893" spans="1:39" x14ac:dyDescent="0.35">
      <c r="A893">
        <v>2017</v>
      </c>
      <c r="B893" t="s">
        <v>123</v>
      </c>
      <c r="C893">
        <v>120</v>
      </c>
      <c r="D893" t="s">
        <v>309</v>
      </c>
      <c r="E893">
        <v>48038.987007999996</v>
      </c>
      <c r="F893">
        <v>295925</v>
      </c>
      <c r="G893">
        <v>343963.98700800003</v>
      </c>
      <c r="H893">
        <v>2368122098.5345502</v>
      </c>
      <c r="I893">
        <v>2306741672.29006</v>
      </c>
      <c r="J893">
        <v>-3.1381749373348311E-2</v>
      </c>
      <c r="K893">
        <v>1097.8216681275201</v>
      </c>
      <c r="L893">
        <v>-4.3365599929288644E-2</v>
      </c>
      <c r="M893">
        <v>1147.58748801671</v>
      </c>
      <c r="N893">
        <v>4.4476993737630002</v>
      </c>
      <c r="O893">
        <v>146.36677132949399</v>
      </c>
      <c r="P893">
        <v>20.0038403177699</v>
      </c>
      <c r="Q893">
        <v>39.715342349516398</v>
      </c>
      <c r="R893">
        <v>2157110</v>
      </c>
      <c r="S893">
        <v>1.2527095570736689E-2</v>
      </c>
      <c r="U893">
        <v>6.64</v>
      </c>
      <c r="V893">
        <v>14.482248999999999</v>
      </c>
      <c r="W893">
        <v>9.750788</v>
      </c>
      <c r="X893">
        <v>91.839519999999993</v>
      </c>
      <c r="Y893">
        <v>39</v>
      </c>
      <c r="Z893">
        <v>10.3130654092878</v>
      </c>
      <c r="AJ893">
        <v>-0.30051344633102423</v>
      </c>
      <c r="AK893">
        <v>-0.38404819369316101</v>
      </c>
      <c r="AL893">
        <v>0.13047030000000001</v>
      </c>
      <c r="AM893">
        <f>VLOOKUP(D893,[1]Sheet1!$C$1:$D$191,2,FALSE)</f>
        <v>120</v>
      </c>
    </row>
    <row r="894" spans="1:39" x14ac:dyDescent="0.35">
      <c r="A894">
        <v>2018</v>
      </c>
      <c r="B894" t="s">
        <v>123</v>
      </c>
      <c r="C894">
        <v>120</v>
      </c>
      <c r="D894" t="s">
        <v>309</v>
      </c>
      <c r="E894">
        <v>7754.6364809999995</v>
      </c>
      <c r="F894">
        <v>75575</v>
      </c>
      <c r="G894">
        <v>83329.636480999994</v>
      </c>
      <c r="H894">
        <v>2333058897.5103002</v>
      </c>
      <c r="I894">
        <v>2556247291.9978499</v>
      </c>
      <c r="J894">
        <v>-1.4806331584823251E-2</v>
      </c>
      <c r="K894">
        <v>1068.4446291337299</v>
      </c>
      <c r="L894">
        <v>-2.6759390752321904E-2</v>
      </c>
      <c r="M894">
        <v>1097.8216681275201</v>
      </c>
      <c r="N894">
        <v>4.7518030162473996</v>
      </c>
      <c r="O894">
        <v>144.434955465602</v>
      </c>
      <c r="P894">
        <v>20.1314045454092</v>
      </c>
      <c r="Q894">
        <v>39.249684179594603</v>
      </c>
      <c r="R894">
        <v>2183603</v>
      </c>
      <c r="S894">
        <v>1.2281710251215747E-2</v>
      </c>
      <c r="U894">
        <v>6.64</v>
      </c>
      <c r="V894">
        <v>14.380791</v>
      </c>
      <c r="W894">
        <v>7.7711759999999996</v>
      </c>
      <c r="X894">
        <v>91.657960000000003</v>
      </c>
      <c r="Y894">
        <v>40.799999999999997</v>
      </c>
      <c r="Z894">
        <v>9.9384429803358199</v>
      </c>
      <c r="AJ894">
        <v>-0.36634102463722229</v>
      </c>
      <c r="AK894">
        <v>-0.5553668737411499</v>
      </c>
      <c r="AL894">
        <v>5.6392100000000001E-2</v>
      </c>
      <c r="AM894">
        <f>VLOOKUP(D894,[1]Sheet1!$C$1:$D$191,2,FALSE)</f>
        <v>120</v>
      </c>
    </row>
    <row r="895" spans="1:39" x14ac:dyDescent="0.35">
      <c r="A895">
        <v>2019</v>
      </c>
      <c r="B895" t="s">
        <v>123</v>
      </c>
      <c r="C895">
        <v>120</v>
      </c>
      <c r="D895" t="s">
        <v>309</v>
      </c>
      <c r="E895">
        <v>23891.5345566</v>
      </c>
      <c r="F895">
        <v>246900</v>
      </c>
      <c r="G895">
        <v>270791.53455659997</v>
      </c>
      <c r="H895">
        <v>2299976266.2734599</v>
      </c>
      <c r="I895">
        <v>2390702295.8277702</v>
      </c>
      <c r="J895">
        <v>-1.4179938308520218E-2</v>
      </c>
      <c r="K895">
        <v>1040.99351014117</v>
      </c>
      <c r="L895">
        <v>-2.5692598609266884E-2</v>
      </c>
      <c r="M895">
        <v>1068.4446291337299</v>
      </c>
      <c r="N895">
        <v>5.1870835919798202</v>
      </c>
      <c r="O895">
        <v>140.51663349168001</v>
      </c>
      <c r="P895">
        <v>21.322467785894801</v>
      </c>
      <c r="Q895">
        <v>39.246346848746001</v>
      </c>
      <c r="R895">
        <v>2209405</v>
      </c>
      <c r="S895">
        <v>1.1816250481429088E-2</v>
      </c>
      <c r="T895">
        <v>55.298999999999999</v>
      </c>
      <c r="U895">
        <v>6.54</v>
      </c>
      <c r="V895">
        <v>14.004451</v>
      </c>
      <c r="W895">
        <v>9.3102820000000008</v>
      </c>
      <c r="X895">
        <v>91.605609999999999</v>
      </c>
      <c r="Y895">
        <v>42.301699999999997</v>
      </c>
      <c r="AJ895">
        <v>-0.42695367336273188</v>
      </c>
      <c r="AK895">
        <v>-0.60728418827056885</v>
      </c>
      <c r="AL895">
        <v>7.8207625000000017E-2</v>
      </c>
      <c r="AM895">
        <f>VLOOKUP(D895,[1]Sheet1!$C$1:$D$191,2,FALSE)</f>
        <v>120</v>
      </c>
    </row>
    <row r="896" spans="1:39" x14ac:dyDescent="0.35">
      <c r="A896">
        <v>2020</v>
      </c>
      <c r="B896" t="s">
        <v>123</v>
      </c>
      <c r="C896">
        <v>120</v>
      </c>
      <c r="D896" t="s">
        <v>309</v>
      </c>
      <c r="E896">
        <v>16870.807467359999</v>
      </c>
      <c r="F896">
        <v>151175</v>
      </c>
      <c r="G896">
        <v>168045.80746735999</v>
      </c>
      <c r="H896">
        <v>2112391149.6061299</v>
      </c>
      <c r="I896">
        <v>2053699870.0719099</v>
      </c>
      <c r="J896">
        <v>-8.1559587991429622E-2</v>
      </c>
      <c r="K896">
        <v>944.83411865855498</v>
      </c>
      <c r="L896">
        <v>-9.2372709864036256E-2</v>
      </c>
      <c r="M896">
        <v>1040.99351014117</v>
      </c>
      <c r="N896">
        <v>4.9780967625230899</v>
      </c>
      <c r="O896">
        <v>141.096604645578</v>
      </c>
      <c r="P896">
        <v>21.934113633447101</v>
      </c>
      <c r="Q896">
        <v>43.288414842552598</v>
      </c>
      <c r="R896">
        <v>2235727</v>
      </c>
      <c r="S896">
        <v>1.1913614751482865E-2</v>
      </c>
      <c r="U896">
        <v>6.3</v>
      </c>
      <c r="V896">
        <v>13.915372</v>
      </c>
      <c r="W896">
        <v>7.5289010000000003</v>
      </c>
      <c r="X896">
        <v>90.951549999999997</v>
      </c>
      <c r="Y896">
        <v>43.657499999999999</v>
      </c>
      <c r="AJ896">
        <v>-0.4878985583782196</v>
      </c>
      <c r="AK896">
        <v>-0.6690140962600708</v>
      </c>
      <c r="AL896">
        <v>0.11053265</v>
      </c>
      <c r="AM896">
        <f>VLOOKUP(D896,[1]Sheet1!$C$1:$D$191,2,FALSE)</f>
        <v>120</v>
      </c>
    </row>
    <row r="897" spans="1:39" x14ac:dyDescent="0.35">
      <c r="A897">
        <v>2014</v>
      </c>
      <c r="B897" t="s">
        <v>124</v>
      </c>
      <c r="C897">
        <v>121</v>
      </c>
      <c r="D897" t="s">
        <v>310</v>
      </c>
      <c r="F897">
        <v>16196</v>
      </c>
      <c r="G897">
        <v>16196</v>
      </c>
      <c r="H897">
        <v>35171376859.129402</v>
      </c>
      <c r="I897">
        <v>40377929295.641899</v>
      </c>
      <c r="J897">
        <v>5.3012385923705177E-2</v>
      </c>
      <c r="K897">
        <v>5794.4764440160297</v>
      </c>
      <c r="L897">
        <v>3.7855821722838641E-2</v>
      </c>
      <c r="M897">
        <v>5583.12274473463</v>
      </c>
      <c r="N897">
        <v>5.0288276745676601</v>
      </c>
      <c r="O897">
        <v>69.0837249631346</v>
      </c>
      <c r="P897">
        <v>38.1381490369685</v>
      </c>
      <c r="Q897">
        <v>14.001361051632999</v>
      </c>
      <c r="R897">
        <v>6069811</v>
      </c>
      <c r="S897">
        <v>1.460372807439099E-2</v>
      </c>
      <c r="T897">
        <v>62.634999999999998</v>
      </c>
      <c r="U897">
        <v>6.26</v>
      </c>
      <c r="V897">
        <v>24.019912000000001</v>
      </c>
      <c r="W897">
        <v>7.3272380000000004</v>
      </c>
      <c r="X897">
        <v>51.892650000000003</v>
      </c>
      <c r="Y897">
        <v>43.007399999999997</v>
      </c>
      <c r="AJ897">
        <v>-0.60435056686401367</v>
      </c>
      <c r="AK897">
        <v>-0.20534233748912811</v>
      </c>
      <c r="AL897">
        <v>4.7310400000000002E-2</v>
      </c>
      <c r="AM897">
        <f>VLOOKUP(D897,[1]Sheet1!$C$1:$D$191,2,FALSE)</f>
        <v>121</v>
      </c>
    </row>
    <row r="898" spans="1:39" x14ac:dyDescent="0.35">
      <c r="A898">
        <v>2015</v>
      </c>
      <c r="B898" t="s">
        <v>124</v>
      </c>
      <c r="C898">
        <v>121</v>
      </c>
      <c r="D898" t="s">
        <v>310</v>
      </c>
      <c r="F898">
        <v>85036</v>
      </c>
      <c r="G898">
        <v>85036</v>
      </c>
      <c r="H898">
        <v>36211447840.097099</v>
      </c>
      <c r="I898">
        <v>36211447840.097099</v>
      </c>
      <c r="J898">
        <v>2.9571517348708141E-2</v>
      </c>
      <c r="K898">
        <v>5879.3379230867104</v>
      </c>
      <c r="L898">
        <v>1.4645236699221941E-2</v>
      </c>
      <c r="M898">
        <v>5794.4764440160297</v>
      </c>
      <c r="N898">
        <v>3.1290027447392501</v>
      </c>
      <c r="O898">
        <v>66.915065525957303</v>
      </c>
      <c r="P898">
        <v>43.349646470299803</v>
      </c>
      <c r="Q898">
        <v>14.8283479769772</v>
      </c>
      <c r="R898">
        <v>6159103</v>
      </c>
      <c r="S898">
        <v>1.471083696016235E-2</v>
      </c>
      <c r="T898">
        <v>62.674999999999997</v>
      </c>
      <c r="U898">
        <v>6.33</v>
      </c>
      <c r="V898">
        <v>25.295323</v>
      </c>
      <c r="W898">
        <v>6.1364010000000002</v>
      </c>
      <c r="X898">
        <v>50.62753</v>
      </c>
      <c r="Y898">
        <v>49.716299999999997</v>
      </c>
      <c r="AJ898">
        <v>-0.64435964822769165</v>
      </c>
      <c r="AK898">
        <v>-0.20560888946056369</v>
      </c>
      <c r="AL898">
        <v>6.7819299999999999E-2</v>
      </c>
      <c r="AM898">
        <f>VLOOKUP(D898,[1]Sheet1!$C$1:$D$191,2,FALSE)</f>
        <v>121</v>
      </c>
    </row>
    <row r="899" spans="1:39" x14ac:dyDescent="0.35">
      <c r="A899">
        <v>2016</v>
      </c>
      <c r="B899" t="s">
        <v>124</v>
      </c>
      <c r="C899">
        <v>121</v>
      </c>
      <c r="D899" t="s">
        <v>310</v>
      </c>
      <c r="E899">
        <v>10588</v>
      </c>
      <c r="F899">
        <v>9463050</v>
      </c>
      <c r="G899">
        <v>9473638</v>
      </c>
      <c r="H899">
        <v>37756961788.468597</v>
      </c>
      <c r="I899">
        <v>36089700222.946098</v>
      </c>
      <c r="J899">
        <v>4.2680258331459026E-2</v>
      </c>
      <c r="K899">
        <v>6041.9587936726803</v>
      </c>
      <c r="L899">
        <v>2.7659725076763803E-2</v>
      </c>
      <c r="M899">
        <v>5879.3379230867104</v>
      </c>
      <c r="N899">
        <v>4.0868228057724103</v>
      </c>
      <c r="O899">
        <v>67.759315232204699</v>
      </c>
      <c r="P899">
        <v>41.3557191308076</v>
      </c>
      <c r="Q899">
        <v>15.421614390364599</v>
      </c>
      <c r="R899">
        <v>6249126</v>
      </c>
      <c r="S899">
        <v>1.4616251749646012E-2</v>
      </c>
      <c r="T899">
        <v>65.685000000000002</v>
      </c>
      <c r="U899">
        <v>6.27</v>
      </c>
      <c r="V899">
        <v>24.943055999999999</v>
      </c>
      <c r="W899">
        <v>6.455559</v>
      </c>
      <c r="X899">
        <v>49.224620000000002</v>
      </c>
      <c r="Y899">
        <v>53.4041</v>
      </c>
      <c r="AJ899">
        <v>-0.68965423107147217</v>
      </c>
      <c r="AK899">
        <v>-0.229902908205986</v>
      </c>
      <c r="AL899">
        <v>6.3691750000000005E-2</v>
      </c>
      <c r="AM899">
        <f>VLOOKUP(D899,[1]Sheet1!$C$1:$D$191,2,FALSE)</f>
        <v>121</v>
      </c>
    </row>
    <row r="900" spans="1:39" x14ac:dyDescent="0.35">
      <c r="A900">
        <v>2017</v>
      </c>
      <c r="B900" t="s">
        <v>124</v>
      </c>
      <c r="C900">
        <v>121</v>
      </c>
      <c r="D900" t="s">
        <v>310</v>
      </c>
      <c r="E900">
        <v>16240</v>
      </c>
      <c r="F900">
        <v>10560973</v>
      </c>
      <c r="G900">
        <v>10577213</v>
      </c>
      <c r="H900">
        <v>39573101423.950203</v>
      </c>
      <c r="I900">
        <v>38997129473.555801</v>
      </c>
      <c r="J900">
        <v>4.8100788555404242E-2</v>
      </c>
      <c r="K900">
        <v>6243.1336313905804</v>
      </c>
      <c r="L900">
        <v>3.3296294229708485E-2</v>
      </c>
      <c r="M900">
        <v>6041.9587936726803</v>
      </c>
      <c r="N900">
        <v>3.6024774134894302</v>
      </c>
      <c r="O900">
        <v>71.080134403837704</v>
      </c>
      <c r="P900">
        <v>41.155896617808601</v>
      </c>
      <c r="Q900">
        <v>14.466146851694401</v>
      </c>
      <c r="R900">
        <v>6338660</v>
      </c>
      <c r="S900">
        <v>1.4327443549705991E-2</v>
      </c>
      <c r="T900">
        <v>65.216999999999999</v>
      </c>
      <c r="U900">
        <v>6.31</v>
      </c>
      <c r="V900">
        <v>27.013349000000002</v>
      </c>
      <c r="W900">
        <v>6.4412310000000002</v>
      </c>
      <c r="X900">
        <v>46.971690000000002</v>
      </c>
      <c r="Y900">
        <v>61.075800000000001</v>
      </c>
      <c r="AJ900">
        <v>-0.66796183586120605</v>
      </c>
      <c r="AK900">
        <v>-0.2482259422540665</v>
      </c>
      <c r="AL900">
        <v>0.113016725</v>
      </c>
      <c r="AM900">
        <f>VLOOKUP(D900,[1]Sheet1!$C$1:$D$191,2,FALSE)</f>
        <v>121</v>
      </c>
    </row>
    <row r="901" spans="1:39" x14ac:dyDescent="0.35">
      <c r="A901">
        <v>2018</v>
      </c>
      <c r="B901" t="s">
        <v>124</v>
      </c>
      <c r="C901">
        <v>121</v>
      </c>
      <c r="D901" t="s">
        <v>310</v>
      </c>
      <c r="E901">
        <v>10186.14</v>
      </c>
      <c r="F901">
        <v>21913836.130527999</v>
      </c>
      <c r="G901">
        <v>21924022.270528</v>
      </c>
      <c r="H901">
        <v>40841122661.179001</v>
      </c>
      <c r="I901">
        <v>40225448340.632202</v>
      </c>
      <c r="J901">
        <v>3.204250340766502E-2</v>
      </c>
      <c r="K901">
        <v>6354.2392005296997</v>
      </c>
      <c r="L901">
        <v>1.7796442571800589E-2</v>
      </c>
      <c r="M901">
        <v>6243.1336313905804</v>
      </c>
      <c r="N901">
        <v>3.97561015740694</v>
      </c>
      <c r="O901">
        <v>72.069223625915001</v>
      </c>
      <c r="P901">
        <v>44.5974774295712</v>
      </c>
      <c r="Q901">
        <v>16.1304844057012</v>
      </c>
      <c r="R901">
        <v>6427382</v>
      </c>
      <c r="S901">
        <v>1.3996964658145412E-2</v>
      </c>
      <c r="U901">
        <v>6.24</v>
      </c>
      <c r="V901">
        <v>29.196235999999999</v>
      </c>
      <c r="W901">
        <v>5.9663040000000001</v>
      </c>
      <c r="X901">
        <v>46.459339999999997</v>
      </c>
      <c r="Y901">
        <v>64.993499999999997</v>
      </c>
      <c r="AJ901">
        <v>-0.6022682785987854</v>
      </c>
      <c r="AK901">
        <v>-8.9519158005714417E-2</v>
      </c>
      <c r="AL901">
        <v>0.12470687499999999</v>
      </c>
      <c r="AM901">
        <f>VLOOKUP(D901,[1]Sheet1!$C$1:$D$191,2,FALSE)</f>
        <v>121</v>
      </c>
    </row>
    <row r="902" spans="1:39" x14ac:dyDescent="0.35">
      <c r="A902">
        <v>2019</v>
      </c>
      <c r="B902" t="s">
        <v>124</v>
      </c>
      <c r="C902">
        <v>121</v>
      </c>
      <c r="D902" t="s">
        <v>310</v>
      </c>
      <c r="F902">
        <v>9354049.1684676893</v>
      </c>
      <c r="G902">
        <v>9354049.1684676893</v>
      </c>
      <c r="H902">
        <v>40677000526.589996</v>
      </c>
      <c r="I902">
        <v>37925338329.149399</v>
      </c>
      <c r="J902">
        <v>-4.0185510068019917E-3</v>
      </c>
      <c r="K902">
        <v>6243.53620897773</v>
      </c>
      <c r="L902">
        <v>-1.7421911271886231E-2</v>
      </c>
      <c r="M902">
        <v>6354.2392005296997</v>
      </c>
      <c r="N902">
        <v>2.7570972756277499</v>
      </c>
      <c r="O902">
        <v>71.222161734243301</v>
      </c>
      <c r="P902">
        <v>47.750633503799101</v>
      </c>
      <c r="Q902">
        <v>20.350230128213799</v>
      </c>
      <c r="R902">
        <v>6515058</v>
      </c>
      <c r="S902">
        <v>1.3641012779386693E-2</v>
      </c>
      <c r="U902">
        <v>6.24</v>
      </c>
      <c r="V902">
        <v>29.905432999999999</v>
      </c>
      <c r="W902">
        <v>5.982977</v>
      </c>
      <c r="X902">
        <v>43.302010000000003</v>
      </c>
      <c r="Y902">
        <v>68.517600000000002</v>
      </c>
      <c r="AJ902">
        <v>-0.56749618053436279</v>
      </c>
      <c r="AK902">
        <v>-0.13721576333045959</v>
      </c>
      <c r="AL902">
        <v>0.14014689999999999</v>
      </c>
      <c r="AM902">
        <f>VLOOKUP(D902,[1]Sheet1!$C$1:$D$191,2,FALSE)</f>
        <v>121</v>
      </c>
    </row>
    <row r="903" spans="1:39" x14ac:dyDescent="0.35">
      <c r="A903">
        <v>2020</v>
      </c>
      <c r="B903" t="s">
        <v>124</v>
      </c>
      <c r="C903">
        <v>121</v>
      </c>
      <c r="D903" t="s">
        <v>310</v>
      </c>
      <c r="E903">
        <v>6011.89</v>
      </c>
      <c r="F903">
        <v>8279725</v>
      </c>
      <c r="G903">
        <v>8285736.8899999997</v>
      </c>
      <c r="H903">
        <v>40343536418.787498</v>
      </c>
      <c r="I903">
        <v>35432178068.181396</v>
      </c>
      <c r="J903">
        <v>-8.1978539097177765E-3</v>
      </c>
      <c r="K903">
        <v>6109.1960810061501</v>
      </c>
      <c r="L903">
        <v>-2.1516673160060968E-2</v>
      </c>
      <c r="M903">
        <v>6243.53620897773</v>
      </c>
      <c r="N903">
        <v>1.76751592356698</v>
      </c>
      <c r="O903">
        <v>62.760217474856098</v>
      </c>
      <c r="P903">
        <v>50.713173429759898</v>
      </c>
      <c r="Q903">
        <v>18.4727986970316</v>
      </c>
      <c r="R903">
        <v>6603739</v>
      </c>
      <c r="S903">
        <v>1.361169770092607E-2</v>
      </c>
      <c r="U903">
        <v>6.18</v>
      </c>
      <c r="V903">
        <v>25.967665</v>
      </c>
      <c r="W903">
        <v>5.1872220000000002</v>
      </c>
      <c r="X903">
        <v>42.248330000000003</v>
      </c>
      <c r="Y903">
        <v>73.957499999999996</v>
      </c>
      <c r="AJ903">
        <v>-0.42782652378082281</v>
      </c>
      <c r="AK903">
        <v>-0.13966229557991031</v>
      </c>
      <c r="AL903">
        <v>7.3753674999999991E-2</v>
      </c>
      <c r="AM903">
        <f>VLOOKUP(D903,[1]Sheet1!$C$1:$D$191,2,FALSE)</f>
        <v>121</v>
      </c>
    </row>
    <row r="904" spans="1:39" x14ac:dyDescent="0.35">
      <c r="A904">
        <v>2014</v>
      </c>
      <c r="B904" t="s">
        <v>125</v>
      </c>
      <c r="C904">
        <v>122</v>
      </c>
      <c r="D904" t="s">
        <v>364</v>
      </c>
      <c r="E904">
        <v>8767.7526476328003</v>
      </c>
      <c r="G904">
        <v>8767.7526476328003</v>
      </c>
      <c r="H904">
        <v>1315169064.9572799</v>
      </c>
      <c r="I904">
        <v>1387577870.08161</v>
      </c>
      <c r="J904">
        <v>4.0636918123523179E-2</v>
      </c>
      <c r="K904">
        <v>14395.6158118771</v>
      </c>
      <c r="L904">
        <v>2.4576124391605603E-2</v>
      </c>
      <c r="M904">
        <v>14050.3135581314</v>
      </c>
      <c r="N904">
        <v>1.38583454581263</v>
      </c>
      <c r="O904">
        <v>213.35446942648599</v>
      </c>
      <c r="P904">
        <v>24.350443797419199</v>
      </c>
      <c r="Q904">
        <v>28.156094575520299</v>
      </c>
      <c r="R904">
        <v>91359</v>
      </c>
      <c r="S904">
        <v>1.5675549478037554E-2</v>
      </c>
      <c r="T904">
        <v>38.859000000000002</v>
      </c>
      <c r="V904">
        <v>66.842067999999998</v>
      </c>
      <c r="W904">
        <v>0</v>
      </c>
      <c r="X904">
        <v>0</v>
      </c>
      <c r="Y904">
        <v>51.2547</v>
      </c>
      <c r="Z904">
        <v>7.2911929664999198</v>
      </c>
      <c r="AJ904">
        <v>0.2499378323554993</v>
      </c>
      <c r="AK904">
        <v>-0.26845476031303411</v>
      </c>
      <c r="AM904">
        <f>VLOOKUP(D904,[1]Sheet1!$C$1:$D$191,2,FALSE)</f>
        <v>122</v>
      </c>
    </row>
    <row r="905" spans="1:39" x14ac:dyDescent="0.35">
      <c r="A905">
        <v>2015</v>
      </c>
      <c r="B905" t="s">
        <v>125</v>
      </c>
      <c r="C905">
        <v>122</v>
      </c>
      <c r="D905" t="s">
        <v>364</v>
      </c>
      <c r="E905">
        <v>1080</v>
      </c>
      <c r="G905">
        <v>1080</v>
      </c>
      <c r="H905">
        <v>1432403352.1294401</v>
      </c>
      <c r="I905">
        <v>1432403352.1294401</v>
      </c>
      <c r="J905">
        <v>8.9140088750466639E-2</v>
      </c>
      <c r="K905">
        <v>15333.1051727105</v>
      </c>
      <c r="L905">
        <v>6.5123255099648128E-2</v>
      </c>
      <c r="M905">
        <v>14395.6158118771</v>
      </c>
      <c r="N905">
        <v>4.0419441072561701</v>
      </c>
      <c r="O905">
        <v>187.47501246767899</v>
      </c>
      <c r="P905">
        <v>24.3497337704834</v>
      </c>
      <c r="Q905">
        <v>28.0329231436078</v>
      </c>
      <c r="R905">
        <v>93419</v>
      </c>
      <c r="S905">
        <v>2.2548407929158593E-2</v>
      </c>
      <c r="T905">
        <v>33.412999999999997</v>
      </c>
      <c r="V905">
        <v>66.907347000000001</v>
      </c>
      <c r="W905">
        <v>5.4852650000000001</v>
      </c>
      <c r="X905">
        <v>100</v>
      </c>
      <c r="Y905">
        <v>54.259599999999999</v>
      </c>
      <c r="Z905">
        <v>16.497300730390599</v>
      </c>
      <c r="AJ905">
        <v>0.33743569254875178</v>
      </c>
      <c r="AK905">
        <v>0.1349304914474487</v>
      </c>
      <c r="AM905">
        <f>VLOOKUP(D905,[1]Sheet1!$C$1:$D$191,2,FALSE)</f>
        <v>122</v>
      </c>
    </row>
    <row r="906" spans="1:39" x14ac:dyDescent="0.35">
      <c r="A906">
        <v>2016</v>
      </c>
      <c r="B906" t="s">
        <v>125</v>
      </c>
      <c r="C906">
        <v>122</v>
      </c>
      <c r="D906" t="s">
        <v>364</v>
      </c>
      <c r="E906">
        <v>1661.97331184923</v>
      </c>
      <c r="G906">
        <v>1661.97331184923</v>
      </c>
      <c r="H906">
        <v>1605975218.58763</v>
      </c>
      <c r="I906">
        <v>1568513348.14463</v>
      </c>
      <c r="J906">
        <v>0.12117527245391774</v>
      </c>
      <c r="K906">
        <v>16962.675397273098</v>
      </c>
      <c r="L906">
        <v>0.10627790041268802</v>
      </c>
      <c r="M906">
        <v>15333.1051727105</v>
      </c>
      <c r="N906">
        <v>-1.0154819169762599</v>
      </c>
      <c r="O906">
        <v>180.86618839093899</v>
      </c>
      <c r="P906">
        <v>24.516610652424401</v>
      </c>
      <c r="Q906">
        <v>30.332389496745702</v>
      </c>
      <c r="R906">
        <v>94677</v>
      </c>
      <c r="S906">
        <v>1.3466211370277995E-2</v>
      </c>
      <c r="T906">
        <v>32.005000000000003</v>
      </c>
      <c r="V906">
        <v>73.004766000000004</v>
      </c>
      <c r="W906">
        <v>5.9193829999999998</v>
      </c>
      <c r="X906">
        <v>100</v>
      </c>
      <c r="Y906">
        <v>56.514699999999998</v>
      </c>
      <c r="Z906">
        <v>25.6358902463449</v>
      </c>
      <c r="AJ906">
        <v>0.2861115038394928</v>
      </c>
      <c r="AK906">
        <v>-9.0723507106304169E-2</v>
      </c>
      <c r="AM906">
        <f>VLOOKUP(D906,[1]Sheet1!$C$1:$D$191,2,FALSE)</f>
        <v>122</v>
      </c>
    </row>
    <row r="907" spans="1:39" x14ac:dyDescent="0.35">
      <c r="A907">
        <v>2017</v>
      </c>
      <c r="B907" t="s">
        <v>125</v>
      </c>
      <c r="C907">
        <v>122</v>
      </c>
      <c r="D907" t="s">
        <v>364</v>
      </c>
      <c r="E907">
        <v>529</v>
      </c>
      <c r="G907">
        <v>529</v>
      </c>
      <c r="H907">
        <v>1717657339.9863801</v>
      </c>
      <c r="I907">
        <v>1675370641.0141599</v>
      </c>
      <c r="J907">
        <v>6.9541621879426363E-2</v>
      </c>
      <c r="K907">
        <v>17921.5731976918</v>
      </c>
      <c r="L907">
        <v>5.6529867957789991E-2</v>
      </c>
      <c r="M907">
        <v>16962.675397273098</v>
      </c>
      <c r="N907">
        <v>2.8567957556843702</v>
      </c>
      <c r="O907">
        <v>197.442236417869</v>
      </c>
      <c r="Q907">
        <v>29.981305142032099</v>
      </c>
      <c r="R907">
        <v>95843</v>
      </c>
      <c r="S907">
        <v>1.2315557104682235E-2</v>
      </c>
      <c r="T907">
        <v>30.021000000000001</v>
      </c>
      <c r="V907">
        <v>80.447232</v>
      </c>
      <c r="W907">
        <v>5.4068560000000003</v>
      </c>
      <c r="X907">
        <v>100</v>
      </c>
      <c r="Y907">
        <v>62.6</v>
      </c>
      <c r="Z907">
        <v>42.208201892744498</v>
      </c>
      <c r="AJ907">
        <v>0.1687582731246948</v>
      </c>
      <c r="AK907">
        <v>1.082071382552385E-2</v>
      </c>
      <c r="AM907">
        <f>VLOOKUP(D907,[1]Sheet1!$C$1:$D$191,2,FALSE)</f>
        <v>122</v>
      </c>
    </row>
    <row r="908" spans="1:39" x14ac:dyDescent="0.35">
      <c r="A908">
        <v>2020</v>
      </c>
      <c r="B908" t="s">
        <v>125</v>
      </c>
      <c r="C908">
        <v>122</v>
      </c>
      <c r="D908" t="s">
        <v>364</v>
      </c>
      <c r="E908">
        <v>300.44160616900001</v>
      </c>
      <c r="G908">
        <v>300.44160616900001</v>
      </c>
      <c r="H908">
        <v>1678615792.6383801</v>
      </c>
      <c r="I908">
        <v>1382551751.5690801</v>
      </c>
      <c r="J908">
        <v>-0.1173986082817317</v>
      </c>
      <c r="K908">
        <v>17048.361729788001</v>
      </c>
      <c r="L908">
        <v>-0.12490137447445741</v>
      </c>
      <c r="M908">
        <v>19481.646105374199</v>
      </c>
      <c r="N908">
        <v>1.20266463987123</v>
      </c>
      <c r="O908">
        <v>153.48333156592</v>
      </c>
      <c r="Q908">
        <v>44.233256509883901</v>
      </c>
      <c r="R908">
        <v>98462</v>
      </c>
      <c r="S908">
        <v>8.5736235595390529E-3</v>
      </c>
      <c r="T908">
        <v>23.739000000000001</v>
      </c>
      <c r="V908">
        <v>89.260734999999997</v>
      </c>
      <c r="W908">
        <v>3.8168600000000001</v>
      </c>
      <c r="X908">
        <v>100</v>
      </c>
      <c r="Y908">
        <v>84.822299999999998</v>
      </c>
      <c r="Z908">
        <v>26.934264107038999</v>
      </c>
      <c r="AJ908">
        <v>0.2348000109195709</v>
      </c>
      <c r="AK908">
        <v>2.1038040518760681E-2</v>
      </c>
      <c r="AM908">
        <f>VLOOKUP(D908,[1]Sheet1!$C$1:$D$191,2,FALSE)</f>
        <v>122</v>
      </c>
    </row>
    <row r="909" spans="1:39" x14ac:dyDescent="0.35">
      <c r="A909">
        <v>2014</v>
      </c>
      <c r="B909" t="s">
        <v>126</v>
      </c>
      <c r="C909">
        <v>123</v>
      </c>
      <c r="D909" t="s">
        <v>365</v>
      </c>
      <c r="E909">
        <v>74968.400288487304</v>
      </c>
      <c r="G909">
        <v>74968.400288487304</v>
      </c>
      <c r="H909">
        <v>50757206252.6521</v>
      </c>
      <c r="I909">
        <v>49516748617.977501</v>
      </c>
      <c r="J909">
        <v>4.6613795422987506E-2</v>
      </c>
      <c r="K909">
        <v>1307.3896484375</v>
      </c>
      <c r="L909">
        <v>1.864525135679335E-2</v>
      </c>
      <c r="M909">
        <v>1283.45922851563</v>
      </c>
      <c r="N909">
        <v>36.906642786359498</v>
      </c>
      <c r="O909">
        <v>20.845109004131299</v>
      </c>
      <c r="P909">
        <v>8.1506468627485908</v>
      </c>
      <c r="Q909">
        <v>11.431860029685501</v>
      </c>
      <c r="R909">
        <v>38823318</v>
      </c>
      <c r="S909">
        <v>2.7456548614270913E-2</v>
      </c>
      <c r="U909">
        <v>2.54</v>
      </c>
      <c r="V909">
        <v>4.3922597999999997</v>
      </c>
      <c r="W909">
        <v>0</v>
      </c>
      <c r="X909">
        <v>0</v>
      </c>
      <c r="Z909">
        <v>15.958589553833001</v>
      </c>
      <c r="AJ909">
        <v>-1.16981041431427</v>
      </c>
      <c r="AK909">
        <v>-1.445106983184814</v>
      </c>
      <c r="AL909">
        <v>6.8744174999999991E-2</v>
      </c>
      <c r="AM909">
        <f>VLOOKUP(D909,[1]Sheet1!$C$1:$D$191,2,FALSE)</f>
        <v>123</v>
      </c>
    </row>
    <row r="910" spans="1:39" x14ac:dyDescent="0.35">
      <c r="A910">
        <v>2017</v>
      </c>
      <c r="B910" t="s">
        <v>126</v>
      </c>
      <c r="C910">
        <v>123</v>
      </c>
      <c r="D910" t="s">
        <v>365</v>
      </c>
      <c r="E910">
        <v>106880</v>
      </c>
      <c r="G910">
        <v>106880</v>
      </c>
      <c r="H910">
        <v>53900054790.136902</v>
      </c>
      <c r="I910">
        <v>41283617976.190498</v>
      </c>
      <c r="J910">
        <v>7.092562847663313E-3</v>
      </c>
      <c r="K910">
        <v>1261.87353515625</v>
      </c>
      <c r="L910">
        <v>-2.7198768337777329E-2</v>
      </c>
      <c r="M910">
        <v>1297.15454101563</v>
      </c>
      <c r="N910">
        <v>32.351626096843702</v>
      </c>
      <c r="O910">
        <v>17.831389829710201</v>
      </c>
      <c r="P910">
        <v>8.3897561375876606</v>
      </c>
      <c r="R910">
        <v>42714306</v>
      </c>
      <c r="S910">
        <v>3.5250068032170324E-2</v>
      </c>
      <c r="U910">
        <v>2.15</v>
      </c>
      <c r="V910">
        <v>5.3895653000000001</v>
      </c>
      <c r="W910">
        <v>0</v>
      </c>
      <c r="X910">
        <v>0</v>
      </c>
      <c r="Y910">
        <v>18.600000000000001</v>
      </c>
      <c r="AJ910">
        <v>-1.1219228506088259</v>
      </c>
      <c r="AK910">
        <v>-1.5786173343658449</v>
      </c>
      <c r="AL910">
        <v>3.5272125000000001E-2</v>
      </c>
      <c r="AM910">
        <f>VLOOKUP(D910,[1]Sheet1!$C$1:$D$191,2,FALSE)</f>
        <v>123</v>
      </c>
    </row>
    <row r="911" spans="1:39" x14ac:dyDescent="0.35">
      <c r="A911">
        <v>2014</v>
      </c>
      <c r="B911" t="s">
        <v>127</v>
      </c>
      <c r="C911">
        <v>124</v>
      </c>
      <c r="D911" t="s">
        <v>311</v>
      </c>
      <c r="E911">
        <v>5895</v>
      </c>
      <c r="G911">
        <v>5895</v>
      </c>
      <c r="H911">
        <v>57467273107.594597</v>
      </c>
      <c r="I911">
        <v>61496186973.902</v>
      </c>
      <c r="J911">
        <v>3.2387912295236583E-2</v>
      </c>
      <c r="K911">
        <v>17122.036456322501</v>
      </c>
      <c r="L911">
        <v>2.9005302021195663E-2</v>
      </c>
      <c r="M911">
        <v>16639.405475065101</v>
      </c>
      <c r="N911">
        <v>8.8773533322982807</v>
      </c>
      <c r="O911">
        <v>49.087624063217397</v>
      </c>
      <c r="P911">
        <v>25.1667931664776</v>
      </c>
      <c r="Q911">
        <v>29.580892745772701</v>
      </c>
      <c r="R911">
        <v>3356334</v>
      </c>
      <c r="S911">
        <v>3.2872622399477244E-3</v>
      </c>
      <c r="T911">
        <v>65.153999999999996</v>
      </c>
      <c r="U911">
        <v>8.17</v>
      </c>
      <c r="V911">
        <v>52.006005000000002</v>
      </c>
      <c r="W911">
        <v>5.7443039999999996</v>
      </c>
      <c r="X911">
        <v>65.443849999999998</v>
      </c>
      <c r="Y911">
        <v>61.462499999999999</v>
      </c>
      <c r="Z911">
        <v>59.826704311423001</v>
      </c>
      <c r="AJ911">
        <v>0.76160776615142822</v>
      </c>
      <c r="AK911">
        <v>0.72371059656143188</v>
      </c>
      <c r="AL911">
        <v>6.9354525E-2</v>
      </c>
      <c r="AM911">
        <f>VLOOKUP(D911,[1]Sheet1!$C$1:$D$191,2,FALSE)</f>
        <v>124</v>
      </c>
    </row>
    <row r="912" spans="1:39" x14ac:dyDescent="0.35">
      <c r="A912">
        <v>2015</v>
      </c>
      <c r="B912" t="s">
        <v>127</v>
      </c>
      <c r="C912">
        <v>124</v>
      </c>
      <c r="D912" t="s">
        <v>311</v>
      </c>
      <c r="E912">
        <v>191318</v>
      </c>
      <c r="G912">
        <v>191318</v>
      </c>
      <c r="H912">
        <v>57680327998.6689</v>
      </c>
      <c r="I912">
        <v>57680327998.6689</v>
      </c>
      <c r="J912">
        <v>3.707412576814026E-3</v>
      </c>
      <c r="K912">
        <v>17125.901680029801</v>
      </c>
      <c r="L912">
        <v>2.2574555994902683E-4</v>
      </c>
      <c r="M912">
        <v>17122.036456322501</v>
      </c>
      <c r="N912">
        <v>8.6662698707932808</v>
      </c>
      <c r="O912">
        <v>45.328240808753399</v>
      </c>
      <c r="P912">
        <v>27.814008527585401</v>
      </c>
      <c r="Q912">
        <v>29.575872094732102</v>
      </c>
      <c r="R912">
        <v>3368017</v>
      </c>
      <c r="S912">
        <v>3.4808812233824166E-3</v>
      </c>
      <c r="T912">
        <v>64.076999999999998</v>
      </c>
      <c r="U912">
        <v>8.17</v>
      </c>
      <c r="V912">
        <v>54.780132999999999</v>
      </c>
      <c r="W912">
        <v>6.9973229999999997</v>
      </c>
      <c r="X912">
        <v>72.868610000000004</v>
      </c>
      <c r="Y912">
        <v>64.570800000000006</v>
      </c>
      <c r="Z912">
        <v>57.7897211461691</v>
      </c>
      <c r="AJ912">
        <v>0.73654294013977051</v>
      </c>
      <c r="AK912">
        <v>0.58802616596221924</v>
      </c>
      <c r="AL912">
        <v>9.4235724999999992E-2</v>
      </c>
      <c r="AM912">
        <f>VLOOKUP(D912,[1]Sheet1!$C$1:$D$191,2,FALSE)</f>
        <v>124</v>
      </c>
    </row>
    <row r="913" spans="1:39" x14ac:dyDescent="0.35">
      <c r="A913">
        <v>2016</v>
      </c>
      <c r="B913" t="s">
        <v>127</v>
      </c>
      <c r="C913">
        <v>124</v>
      </c>
      <c r="D913" t="s">
        <v>311</v>
      </c>
      <c r="E913">
        <v>284675.52216434001</v>
      </c>
      <c r="F913">
        <v>700000</v>
      </c>
      <c r="G913">
        <v>984675.52216434001</v>
      </c>
      <c r="H913">
        <v>58655009122.871803</v>
      </c>
      <c r="I913">
        <v>57480788390.258102</v>
      </c>
      <c r="J913">
        <v>1.6897981652000949E-2</v>
      </c>
      <c r="K913">
        <v>17357.234988271699</v>
      </c>
      <c r="L913">
        <v>1.3507803125580893E-2</v>
      </c>
      <c r="M913">
        <v>17125.901680029801</v>
      </c>
      <c r="N913">
        <v>9.6394134763507999</v>
      </c>
      <c r="O913">
        <v>48.470499920792903</v>
      </c>
      <c r="P913">
        <v>25.6815818820962</v>
      </c>
      <c r="Q913">
        <v>35.221024908258897</v>
      </c>
      <c r="R913">
        <v>3379283</v>
      </c>
      <c r="S913">
        <v>3.344994992602472E-3</v>
      </c>
      <c r="T913">
        <v>63.837000000000003</v>
      </c>
      <c r="U913">
        <v>8.17</v>
      </c>
      <c r="V913">
        <v>82.155427000000003</v>
      </c>
      <c r="W913">
        <v>3.7523260000000001</v>
      </c>
      <c r="X913">
        <v>72.522220000000004</v>
      </c>
      <c r="Y913">
        <v>66.400000000000006</v>
      </c>
      <c r="Z913">
        <v>59.646294575806898</v>
      </c>
      <c r="AJ913">
        <v>0.61905544996261597</v>
      </c>
      <c r="AK913">
        <v>0.68127536773681641</v>
      </c>
      <c r="AL913">
        <v>4.139835E-2</v>
      </c>
      <c r="AM913">
        <f>VLOOKUP(D913,[1]Sheet1!$C$1:$D$191,2,FALSE)</f>
        <v>124</v>
      </c>
    </row>
    <row r="914" spans="1:39" x14ac:dyDescent="0.35">
      <c r="A914">
        <v>2017</v>
      </c>
      <c r="B914" t="s">
        <v>127</v>
      </c>
      <c r="C914">
        <v>124</v>
      </c>
      <c r="D914" t="s">
        <v>311</v>
      </c>
      <c r="E914">
        <v>8398.0744999999988</v>
      </c>
      <c r="F914">
        <v>2897420</v>
      </c>
      <c r="G914">
        <v>2905818.0745000001</v>
      </c>
      <c r="H914">
        <v>59675827109.950996</v>
      </c>
      <c r="I914">
        <v>65006039994.559998</v>
      </c>
      <c r="J914">
        <v>1.7403764867562482E-2</v>
      </c>
      <c r="K914">
        <v>17611.6036681064</v>
      </c>
      <c r="L914">
        <v>1.4654907881732194E-2</v>
      </c>
      <c r="M914">
        <v>17357.234988271699</v>
      </c>
      <c r="N914">
        <v>6.2180938256185998</v>
      </c>
      <c r="O914">
        <v>46.377974216837899</v>
      </c>
      <c r="P914">
        <v>23.9263002049947</v>
      </c>
      <c r="Q914">
        <v>31.248102019111101</v>
      </c>
      <c r="R914">
        <v>3388438</v>
      </c>
      <c r="S914">
        <v>2.7091545750977351E-3</v>
      </c>
      <c r="T914">
        <v>63.183</v>
      </c>
      <c r="U914">
        <v>8.1199999999999992</v>
      </c>
      <c r="V914">
        <v>84.918453</v>
      </c>
      <c r="W914">
        <v>6.3013079999999997</v>
      </c>
      <c r="X914">
        <v>72.669020000000003</v>
      </c>
      <c r="Y914">
        <v>70.322400000000002</v>
      </c>
      <c r="Z914">
        <v>59.751890428693301</v>
      </c>
      <c r="AJ914">
        <v>0.55714291334152222</v>
      </c>
      <c r="AK914">
        <v>0.64454829692840576</v>
      </c>
      <c r="AL914">
        <v>7.6239000000000001E-2</v>
      </c>
      <c r="AM914">
        <f>VLOOKUP(D914,[1]Sheet1!$C$1:$D$191,2,FALSE)</f>
        <v>124</v>
      </c>
    </row>
    <row r="915" spans="1:39" x14ac:dyDescent="0.35">
      <c r="A915">
        <v>2018</v>
      </c>
      <c r="B915" t="s">
        <v>127</v>
      </c>
      <c r="C915">
        <v>124</v>
      </c>
      <c r="D915" t="s">
        <v>311</v>
      </c>
      <c r="E915">
        <v>164332.5809</v>
      </c>
      <c r="F915">
        <v>5500000</v>
      </c>
      <c r="G915">
        <v>5664332.5809000004</v>
      </c>
      <c r="H915">
        <v>59774159541.436996</v>
      </c>
      <c r="I915">
        <v>65344576348.227898</v>
      </c>
      <c r="J915">
        <v>1.6477765998085855E-3</v>
      </c>
      <c r="K915">
        <v>17608.944126480099</v>
      </c>
      <c r="L915">
        <v>-1.5101075838522621E-4</v>
      </c>
      <c r="M915">
        <v>17611.6036681064</v>
      </c>
      <c r="N915">
        <v>7.6065336037704698</v>
      </c>
      <c r="O915">
        <v>47.7913610689275</v>
      </c>
      <c r="P915">
        <v>24.944851627211701</v>
      </c>
      <c r="Q915">
        <v>31.913343334005098</v>
      </c>
      <c r="R915">
        <v>3394534</v>
      </c>
      <c r="S915">
        <v>1.7990590354611772E-3</v>
      </c>
      <c r="T915">
        <v>62.567999999999998</v>
      </c>
      <c r="U915">
        <v>8.3800000000000008</v>
      </c>
      <c r="V915">
        <v>120.06744</v>
      </c>
      <c r="W915">
        <v>6.5514789999999996</v>
      </c>
      <c r="X915">
        <v>63.05012</v>
      </c>
      <c r="Y915">
        <v>80.726799999999997</v>
      </c>
      <c r="Z915">
        <v>60.278134296800197</v>
      </c>
      <c r="AJ915">
        <v>0.57074719667434692</v>
      </c>
      <c r="AK915">
        <v>0.6230316162109375</v>
      </c>
      <c r="AL915">
        <v>0.13533770000000001</v>
      </c>
      <c r="AM915">
        <f>VLOOKUP(D915,[1]Sheet1!$C$1:$D$191,2,FALSE)</f>
        <v>124</v>
      </c>
    </row>
    <row r="916" spans="1:39" x14ac:dyDescent="0.35">
      <c r="A916">
        <v>2019</v>
      </c>
      <c r="B916" t="s">
        <v>127</v>
      </c>
      <c r="C916">
        <v>124</v>
      </c>
      <c r="D916" t="s">
        <v>311</v>
      </c>
      <c r="F916">
        <v>2531111.8732173401</v>
      </c>
      <c r="G916">
        <v>2531111.8732173401</v>
      </c>
      <c r="H916">
        <v>60329073569.224403</v>
      </c>
      <c r="I916">
        <v>62222325807.0578</v>
      </c>
      <c r="J916">
        <v>9.2835103336371648E-3</v>
      </c>
      <c r="K916">
        <v>17758.4384253485</v>
      </c>
      <c r="L916">
        <v>8.4896798919132221E-3</v>
      </c>
      <c r="M916">
        <v>17608.944126480099</v>
      </c>
      <c r="N916">
        <v>7.8819887087961904</v>
      </c>
      <c r="O916">
        <v>49.744869957541198</v>
      </c>
      <c r="P916">
        <v>25.308249356422099</v>
      </c>
      <c r="Q916">
        <v>32.067402160598</v>
      </c>
      <c r="R916">
        <v>3397206</v>
      </c>
      <c r="S916">
        <v>7.871478088008545E-4</v>
      </c>
      <c r="T916">
        <v>62.396999999999998</v>
      </c>
      <c r="U916">
        <v>8.3800000000000008</v>
      </c>
      <c r="V916">
        <v>259.30369999999999</v>
      </c>
      <c r="W916">
        <v>8.0776020000000006</v>
      </c>
      <c r="X916">
        <v>71.903660000000002</v>
      </c>
      <c r="Y916">
        <v>83.351500000000001</v>
      </c>
      <c r="Z916">
        <v>61.9644279466795</v>
      </c>
      <c r="AJ916">
        <v>0.60346806049346924</v>
      </c>
      <c r="AK916">
        <v>0.61363160610198975</v>
      </c>
      <c r="AL916">
        <v>0.1684001</v>
      </c>
      <c r="AM916">
        <f>VLOOKUP(D916,[1]Sheet1!$C$1:$D$191,2,FALSE)</f>
        <v>124</v>
      </c>
    </row>
    <row r="917" spans="1:39" x14ac:dyDescent="0.35">
      <c r="A917">
        <v>2020</v>
      </c>
      <c r="B917" t="s">
        <v>127</v>
      </c>
      <c r="C917">
        <v>124</v>
      </c>
      <c r="D917" t="s">
        <v>311</v>
      </c>
      <c r="E917">
        <v>150130.48000000001</v>
      </c>
      <c r="F917">
        <v>43304390.950000003</v>
      </c>
      <c r="G917">
        <v>43454521.429999992</v>
      </c>
      <c r="H917">
        <v>55876702366.166</v>
      </c>
      <c r="I917">
        <v>53668636567.866699</v>
      </c>
      <c r="J917">
        <v>-7.3801418447931977E-2</v>
      </c>
      <c r="K917">
        <v>16439.314040663499</v>
      </c>
      <c r="L917">
        <v>-7.4281552977207455E-2</v>
      </c>
      <c r="M917">
        <v>17758.4384253485</v>
      </c>
      <c r="N917">
        <v>9.7564063607819396</v>
      </c>
      <c r="O917">
        <v>46.6861478026171</v>
      </c>
      <c r="P917">
        <v>27.8278600422293</v>
      </c>
      <c r="Q917">
        <v>34.620177574969503</v>
      </c>
      <c r="R917">
        <v>3398968</v>
      </c>
      <c r="S917">
        <v>5.1866151184237872E-4</v>
      </c>
      <c r="U917">
        <v>8.61</v>
      </c>
      <c r="V917">
        <v>261.91178000000002</v>
      </c>
      <c r="W917">
        <v>5.4959720000000001</v>
      </c>
      <c r="X917">
        <v>72.265259999999998</v>
      </c>
      <c r="Y917">
        <v>85.471000000000004</v>
      </c>
      <c r="Z917">
        <v>64.933215010721398</v>
      </c>
      <c r="AJ917">
        <v>0.64740502834320068</v>
      </c>
      <c r="AK917">
        <v>0.6871800422668457</v>
      </c>
      <c r="AL917">
        <v>7.6469399999999993E-2</v>
      </c>
      <c r="AM917">
        <f>VLOOKUP(D917,[1]Sheet1!$C$1:$D$191,2,FALSE)</f>
        <v>124</v>
      </c>
    </row>
    <row r="918" spans="1:39" x14ac:dyDescent="0.35">
      <c r="A918">
        <v>2015</v>
      </c>
      <c r="B918" t="s">
        <v>128</v>
      </c>
      <c r="C918">
        <v>125</v>
      </c>
      <c r="D918" t="s">
        <v>312</v>
      </c>
      <c r="E918">
        <v>4765.4918730000109</v>
      </c>
      <c r="G918">
        <v>4765.4918730000109</v>
      </c>
      <c r="H918">
        <v>11386853113.0189</v>
      </c>
      <c r="I918">
        <v>11386853113.0189</v>
      </c>
      <c r="J918">
        <v>2.2187263751784751E-2</v>
      </c>
      <c r="K918">
        <v>3952.8035736481302</v>
      </c>
      <c r="L918">
        <v>2.5168270541713184E-2</v>
      </c>
      <c r="M918">
        <v>3855.7607440965899</v>
      </c>
      <c r="N918">
        <v>1.8961740259236499</v>
      </c>
      <c r="O918">
        <v>71.801006339647003</v>
      </c>
      <c r="P918">
        <v>37.1507412126006</v>
      </c>
      <c r="Q918">
        <v>24.4461757489854</v>
      </c>
      <c r="R918">
        <v>2880703</v>
      </c>
      <c r="S918">
        <v>-2.9078219406431889E-3</v>
      </c>
      <c r="T918">
        <v>49.372</v>
      </c>
      <c r="U918">
        <v>5.91</v>
      </c>
      <c r="V918">
        <v>35.255271999999998</v>
      </c>
      <c r="W918">
        <v>3.901087</v>
      </c>
      <c r="X918">
        <v>65.343580000000003</v>
      </c>
      <c r="Y918">
        <v>56.9</v>
      </c>
      <c r="Z918">
        <v>61.960848548105098</v>
      </c>
      <c r="AA918">
        <v>2023</v>
      </c>
      <c r="AC918">
        <v>0</v>
      </c>
      <c r="AF918">
        <v>1</v>
      </c>
      <c r="AJ918">
        <v>-0.31968680024147028</v>
      </c>
      <c r="AK918">
        <v>0.17423731088638311</v>
      </c>
      <c r="AL918">
        <v>7.2460899999999995E-2</v>
      </c>
      <c r="AM918">
        <f>VLOOKUP(D918,[1]Sheet1!$C$1:$D$191,2,FALSE)</f>
        <v>125</v>
      </c>
    </row>
    <row r="919" spans="1:39" x14ac:dyDescent="0.35">
      <c r="A919">
        <v>2016</v>
      </c>
      <c r="B919" t="s">
        <v>128</v>
      </c>
      <c r="C919">
        <v>125</v>
      </c>
      <c r="D919" t="s">
        <v>312</v>
      </c>
      <c r="E919">
        <v>34510.609248249122</v>
      </c>
      <c r="G919">
        <v>34510.609248249122</v>
      </c>
      <c r="H919">
        <v>11764325094.2129</v>
      </c>
      <c r="I919">
        <v>11861199830.8396</v>
      </c>
      <c r="J919">
        <v>3.3149806838416687E-2</v>
      </c>
      <c r="K919">
        <v>4090.3727282918298</v>
      </c>
      <c r="L919">
        <v>3.4802932167138791E-2</v>
      </c>
      <c r="M919">
        <v>3952.8035736481302</v>
      </c>
      <c r="N919">
        <v>1.2754316836741</v>
      </c>
      <c r="O919">
        <v>74.809862823171002</v>
      </c>
      <c r="P919">
        <v>36.599000678522302</v>
      </c>
      <c r="Q919">
        <v>23.956729433832301</v>
      </c>
      <c r="R919">
        <v>2876101</v>
      </c>
      <c r="S919">
        <v>-1.5975267148331501E-3</v>
      </c>
      <c r="T919">
        <v>51.267000000000003</v>
      </c>
      <c r="U919">
        <v>5.91</v>
      </c>
      <c r="V919">
        <v>34.080737999999997</v>
      </c>
      <c r="W919">
        <v>3.2836940000000001</v>
      </c>
      <c r="X919">
        <v>68.780720000000002</v>
      </c>
      <c r="Y919">
        <v>59.6</v>
      </c>
      <c r="Z919">
        <v>58.488479190118902</v>
      </c>
      <c r="AA919">
        <v>2023</v>
      </c>
      <c r="AC919">
        <v>0</v>
      </c>
      <c r="AF919">
        <v>1</v>
      </c>
      <c r="AJ919">
        <v>-0.32263198494911188</v>
      </c>
      <c r="AK919">
        <v>0.18660762906074521</v>
      </c>
      <c r="AL919">
        <v>8.4599574999999996E-2</v>
      </c>
      <c r="AM919">
        <f>VLOOKUP(D919,[1]Sheet1!$C$1:$D$191,2,FALSE)</f>
        <v>125</v>
      </c>
    </row>
    <row r="920" spans="1:39" x14ac:dyDescent="0.35">
      <c r="A920">
        <v>2017</v>
      </c>
      <c r="B920" t="s">
        <v>128</v>
      </c>
      <c r="C920">
        <v>125</v>
      </c>
      <c r="D920" t="s">
        <v>312</v>
      </c>
      <c r="E920">
        <v>21586.588443586439</v>
      </c>
      <c r="F920">
        <v>2111705.597641225</v>
      </c>
      <c r="G920">
        <v>2133292.1860848116</v>
      </c>
      <c r="H920">
        <v>12211675169.6845</v>
      </c>
      <c r="I920">
        <v>13019726211.7369</v>
      </c>
      <c r="J920">
        <v>3.802598720190585E-2</v>
      </c>
      <c r="K920">
        <v>4249.8200493984996</v>
      </c>
      <c r="L920">
        <v>3.898112267467032E-2</v>
      </c>
      <c r="M920">
        <v>4090.3727282918298</v>
      </c>
      <c r="N920">
        <v>1.9866613317119901</v>
      </c>
      <c r="O920">
        <v>78.194249531913599</v>
      </c>
      <c r="P920">
        <v>34.757826632165497</v>
      </c>
      <c r="Q920">
        <v>23.867587618532401</v>
      </c>
      <c r="R920">
        <v>2873457</v>
      </c>
      <c r="S920">
        <v>-9.193001219359125E-4</v>
      </c>
      <c r="T920">
        <v>52.048999999999999</v>
      </c>
      <c r="U920">
        <v>5.98</v>
      </c>
      <c r="V920">
        <v>31.714075999999999</v>
      </c>
      <c r="W920">
        <v>3.983552</v>
      </c>
      <c r="X920">
        <v>66.970290000000006</v>
      </c>
      <c r="Y920">
        <v>62.4</v>
      </c>
      <c r="Z920">
        <v>58.0177836674929</v>
      </c>
      <c r="AA920">
        <v>2023</v>
      </c>
      <c r="AC920">
        <v>0</v>
      </c>
      <c r="AF920">
        <v>1</v>
      </c>
      <c r="AJ920">
        <v>-0.41419157385826111</v>
      </c>
      <c r="AK920">
        <v>0.22061032056808469</v>
      </c>
      <c r="AL920">
        <v>7.2670650000000003E-2</v>
      </c>
      <c r="AM920">
        <f>VLOOKUP(D920,[1]Sheet1!$C$1:$D$191,2,FALSE)</f>
        <v>125</v>
      </c>
    </row>
    <row r="921" spans="1:39" x14ac:dyDescent="0.35">
      <c r="A921">
        <v>2018</v>
      </c>
      <c r="B921" t="s">
        <v>128</v>
      </c>
      <c r="C921">
        <v>125</v>
      </c>
      <c r="D921" t="s">
        <v>312</v>
      </c>
      <c r="E921">
        <v>11570.34</v>
      </c>
      <c r="F921">
        <v>17900169.800650001</v>
      </c>
      <c r="G921">
        <v>17911740.14065</v>
      </c>
      <c r="H921">
        <v>12702504600.374001</v>
      </c>
      <c r="I921">
        <v>15379509891.719601</v>
      </c>
      <c r="J921">
        <v>4.0193456169550397E-2</v>
      </c>
      <c r="K921">
        <v>4431.5555950698899</v>
      </c>
      <c r="L921">
        <v>4.2763115510529061E-2</v>
      </c>
      <c r="M921">
        <v>4249.8200493984996</v>
      </c>
      <c r="N921">
        <v>2.0280596307113599</v>
      </c>
      <c r="O921">
        <v>75.694070689815405</v>
      </c>
      <c r="P921">
        <v>32.507355382397897</v>
      </c>
      <c r="Q921">
        <v>22.929320097863101</v>
      </c>
      <c r="R921">
        <v>2866376</v>
      </c>
      <c r="S921">
        <v>-2.4642790896122683E-3</v>
      </c>
      <c r="T921">
        <v>54.204999999999998</v>
      </c>
      <c r="U921">
        <v>5.98</v>
      </c>
      <c r="V921">
        <v>30.638124999999999</v>
      </c>
      <c r="W921">
        <v>3.5202840000000002</v>
      </c>
      <c r="X921">
        <v>70.66431</v>
      </c>
      <c r="Y921">
        <v>65.400000000000006</v>
      </c>
      <c r="Z921">
        <v>56.080296410993803</v>
      </c>
      <c r="AA921">
        <v>2023</v>
      </c>
      <c r="AC921">
        <v>0</v>
      </c>
      <c r="AF921">
        <v>1</v>
      </c>
      <c r="AJ921">
        <v>-0.41475203633308411</v>
      </c>
      <c r="AK921">
        <v>0.25607982277870178</v>
      </c>
      <c r="AL921">
        <v>3.1617975E-2</v>
      </c>
      <c r="AM921">
        <f>VLOOKUP(D921,[1]Sheet1!$C$1:$D$191,2,FALSE)</f>
        <v>125</v>
      </c>
    </row>
    <row r="922" spans="1:39" x14ac:dyDescent="0.35">
      <c r="A922">
        <v>2019</v>
      </c>
      <c r="B922" t="s">
        <v>128</v>
      </c>
      <c r="C922">
        <v>125</v>
      </c>
      <c r="D922" t="s">
        <v>312</v>
      </c>
      <c r="E922">
        <v>3464.06960587</v>
      </c>
      <c r="F922">
        <v>79628507.731772587</v>
      </c>
      <c r="G922">
        <v>79631971.801378459</v>
      </c>
      <c r="H922">
        <v>12964502337.0284</v>
      </c>
      <c r="I922">
        <v>15585105131.0644</v>
      </c>
      <c r="J922">
        <v>2.0625675400006222E-2</v>
      </c>
      <c r="K922">
        <v>4542.2686628289202</v>
      </c>
      <c r="L922">
        <v>2.4982890405842749E-2</v>
      </c>
      <c r="M922">
        <v>4431.5555950698899</v>
      </c>
      <c r="N922">
        <v>1.41109078954246</v>
      </c>
      <c r="O922">
        <v>75.382160284874502</v>
      </c>
      <c r="P922">
        <v>33.725609542643902</v>
      </c>
      <c r="Q922">
        <v>22.878405670821198</v>
      </c>
      <c r="R922">
        <v>2854191</v>
      </c>
      <c r="S922">
        <v>-4.2510124282369097E-3</v>
      </c>
      <c r="T922">
        <v>55.177999999999997</v>
      </c>
      <c r="U922">
        <v>5.89</v>
      </c>
      <c r="V922">
        <v>29.988454000000001</v>
      </c>
      <c r="W922">
        <v>3.3896950000000001</v>
      </c>
      <c r="X922">
        <v>68.508849999999995</v>
      </c>
      <c r="Y922">
        <v>68.550399999999996</v>
      </c>
      <c r="Z922">
        <v>61.408514152714197</v>
      </c>
      <c r="AA922">
        <v>2023</v>
      </c>
      <c r="AC922">
        <v>0</v>
      </c>
      <c r="AF922">
        <v>1</v>
      </c>
      <c r="AJ922">
        <v>-0.42631736397743231</v>
      </c>
      <c r="AK922">
        <v>0.27206546068191528</v>
      </c>
      <c r="AL922">
        <v>4.9852275000000001E-2</v>
      </c>
      <c r="AM922">
        <f>VLOOKUP(D922,[1]Sheet1!$C$1:$D$191,2,FALSE)</f>
        <v>125</v>
      </c>
    </row>
    <row r="923" spans="1:39" x14ac:dyDescent="0.35">
      <c r="A923">
        <v>2020</v>
      </c>
      <c r="B923" t="s">
        <v>128</v>
      </c>
      <c r="C923">
        <v>125</v>
      </c>
      <c r="D923" t="s">
        <v>312</v>
      </c>
      <c r="E923">
        <v>15825.57173</v>
      </c>
      <c r="F923">
        <v>60772810.352819413</v>
      </c>
      <c r="G923">
        <v>60788635.924549416</v>
      </c>
      <c r="H923">
        <v>12534895529.6924</v>
      </c>
      <c r="I923">
        <v>15241458744.868799</v>
      </c>
      <c r="J923">
        <v>-3.3137161471210846E-2</v>
      </c>
      <c r="K923">
        <v>4417.0410510539496</v>
      </c>
      <c r="L923">
        <v>-2.7569397820907199E-2</v>
      </c>
      <c r="M923">
        <v>4542.2686628289202</v>
      </c>
      <c r="N923">
        <v>1.62088661717011</v>
      </c>
      <c r="O923">
        <v>59.520699440314203</v>
      </c>
      <c r="P923">
        <v>37.719333429037697</v>
      </c>
      <c r="Q923">
        <v>24.604816156997501</v>
      </c>
      <c r="R923">
        <v>2837849</v>
      </c>
      <c r="S923">
        <v>-5.7256154195707296E-3</v>
      </c>
      <c r="T923">
        <v>52.514000000000003</v>
      </c>
      <c r="U923">
        <v>6.08</v>
      </c>
      <c r="V923">
        <v>31.422519999999999</v>
      </c>
      <c r="W923">
        <v>3.2064859999999999</v>
      </c>
      <c r="X923">
        <v>72.447819999999993</v>
      </c>
      <c r="Y923">
        <v>72.237700000000004</v>
      </c>
      <c r="Z923">
        <v>61.585302432889897</v>
      </c>
      <c r="AA923">
        <v>2023</v>
      </c>
      <c r="AC923">
        <v>0</v>
      </c>
      <c r="AF923">
        <v>1</v>
      </c>
      <c r="AJ923">
        <v>-0.37802821397781372</v>
      </c>
      <c r="AK923">
        <v>0.22196723520755771</v>
      </c>
      <c r="AL923">
        <v>4.1332849999999997E-2</v>
      </c>
      <c r="AM923">
        <f>VLOOKUP(D923,[1]Sheet1!$C$1:$D$191,2,FALSE)</f>
        <v>125</v>
      </c>
    </row>
    <row r="924" spans="1:39" x14ac:dyDescent="0.35">
      <c r="A924">
        <v>2015</v>
      </c>
      <c r="B924" t="s">
        <v>129</v>
      </c>
      <c r="C924">
        <v>126</v>
      </c>
      <c r="E924">
        <v>1472</v>
      </c>
      <c r="G924">
        <v>1472</v>
      </c>
      <c r="H924">
        <v>2789881258.5036201</v>
      </c>
      <c r="I924">
        <v>2789881258.5036201</v>
      </c>
      <c r="J924">
        <v>1.4341403952271337E-2</v>
      </c>
      <c r="K924">
        <v>38654.934720309502</v>
      </c>
      <c r="L924">
        <v>3.6307979372472203E-2</v>
      </c>
      <c r="M924">
        <v>37300.624418347797</v>
      </c>
      <c r="R924">
        <v>72174</v>
      </c>
      <c r="S924">
        <v>-2.1196956751698606E-2</v>
      </c>
      <c r="AJ924">
        <v>1.513191819190979</v>
      </c>
      <c r="AK924">
        <v>0.89837843179702759</v>
      </c>
      <c r="AM924">
        <f>VLOOKUP(D924,[1]Sheet1!$C$1:$D$191,2,FALSE)</f>
        <v>38</v>
      </c>
    </row>
    <row r="925" spans="1:39" x14ac:dyDescent="0.35">
      <c r="A925">
        <v>2016</v>
      </c>
      <c r="B925" t="s">
        <v>129</v>
      </c>
      <c r="C925">
        <v>126</v>
      </c>
      <c r="E925">
        <v>2882.1156430199999</v>
      </c>
      <c r="G925">
        <v>2882.1156430199999</v>
      </c>
      <c r="H925">
        <v>2893376871.7234998</v>
      </c>
      <c r="I925">
        <v>2896610479.7307701</v>
      </c>
      <c r="J925">
        <v>3.7096780697896264E-2</v>
      </c>
      <c r="K925">
        <v>40085.020597158597</v>
      </c>
      <c r="L925">
        <v>3.6996204681150835E-2</v>
      </c>
      <c r="M925">
        <v>38654.934720309502</v>
      </c>
      <c r="R925">
        <v>72181</v>
      </c>
      <c r="S925">
        <v>9.6987834954415718E-5</v>
      </c>
      <c r="AJ925">
        <v>1.512936115264893</v>
      </c>
      <c r="AK925">
        <v>0.86047673225402832</v>
      </c>
      <c r="AM925">
        <f>VLOOKUP(D925,[1]Sheet1!$C$1:$D$191,2,FALSE)</f>
        <v>38</v>
      </c>
    </row>
    <row r="926" spans="1:39" x14ac:dyDescent="0.35">
      <c r="A926">
        <v>2015</v>
      </c>
      <c r="B926" t="s">
        <v>130</v>
      </c>
      <c r="C926">
        <v>127</v>
      </c>
      <c r="D926" t="s">
        <v>313</v>
      </c>
      <c r="E926">
        <v>270962.55991700001</v>
      </c>
      <c r="G926">
        <v>270962.55991700001</v>
      </c>
      <c r="H926">
        <v>10553337518.414</v>
      </c>
      <c r="I926">
        <v>10553337518.414</v>
      </c>
      <c r="J926">
        <v>3.1999999989665337E-2</v>
      </c>
      <c r="K926">
        <v>3512.39350276709</v>
      </c>
      <c r="L926">
        <v>3.5159954725701874E-2</v>
      </c>
      <c r="M926">
        <v>3393.0925232688401</v>
      </c>
      <c r="N926">
        <v>3.7316911926169301</v>
      </c>
      <c r="O926">
        <v>71.682074342757502</v>
      </c>
      <c r="P926">
        <v>45.630782609943999</v>
      </c>
      <c r="Q926">
        <v>25.077981348841899</v>
      </c>
      <c r="R926">
        <v>3004600</v>
      </c>
      <c r="S926">
        <v>-3.0526245935363992E-3</v>
      </c>
      <c r="T926">
        <v>42.326999999999998</v>
      </c>
      <c r="U926">
        <v>4</v>
      </c>
      <c r="V926">
        <v>60.561838999999999</v>
      </c>
      <c r="W926">
        <v>4.572711</v>
      </c>
      <c r="X926">
        <v>48.742789999999999</v>
      </c>
      <c r="Y926">
        <v>59.1008</v>
      </c>
      <c r="Z926">
        <v>48.731368704025897</v>
      </c>
      <c r="AJ926">
        <v>-0.46255132555961609</v>
      </c>
      <c r="AK926">
        <v>0.1891768425703049</v>
      </c>
      <c r="AL926">
        <v>1.9259974999999999E-2</v>
      </c>
      <c r="AM926">
        <f>VLOOKUP(D926,[1]Sheet1!$C$1:$D$191,2,FALSE)</f>
        <v>127</v>
      </c>
    </row>
    <row r="927" spans="1:39" x14ac:dyDescent="0.35">
      <c r="A927">
        <v>2016</v>
      </c>
      <c r="B927" t="s">
        <v>130</v>
      </c>
      <c r="C927">
        <v>127</v>
      </c>
      <c r="D927" t="s">
        <v>313</v>
      </c>
      <c r="E927">
        <v>477931.55713878002</v>
      </c>
      <c r="G927">
        <v>477931.55713878002</v>
      </c>
      <c r="H927">
        <v>10574444193.432501</v>
      </c>
      <c r="I927">
        <v>10546136235.5219</v>
      </c>
      <c r="J927">
        <v>1.99999999826342E-3</v>
      </c>
      <c r="K927">
        <v>3533.8850360700699</v>
      </c>
      <c r="L927">
        <v>6.1187715118048895E-3</v>
      </c>
      <c r="M927">
        <v>3512.39350276709</v>
      </c>
      <c r="N927">
        <v>-1.403607559009</v>
      </c>
      <c r="O927">
        <v>76.077967459354795</v>
      </c>
      <c r="P927">
        <v>48.8756443742773</v>
      </c>
      <c r="Q927">
        <v>25.711518158480501</v>
      </c>
      <c r="R927">
        <v>2992300</v>
      </c>
      <c r="S927">
        <v>-4.0937229581308656E-3</v>
      </c>
      <c r="T927">
        <v>38.767000000000003</v>
      </c>
      <c r="U927">
        <v>3.88</v>
      </c>
      <c r="V927">
        <v>61.163203000000003</v>
      </c>
      <c r="W927">
        <v>4.1208840000000002</v>
      </c>
      <c r="X927">
        <v>54.004710000000003</v>
      </c>
      <c r="Y927">
        <v>64.346000000000004</v>
      </c>
      <c r="Z927">
        <v>54.343287736599301</v>
      </c>
      <c r="AJ927">
        <v>-0.16089449822902679</v>
      </c>
      <c r="AK927">
        <v>0.20515838265419009</v>
      </c>
      <c r="AL927">
        <v>1.3312549999999999E-2</v>
      </c>
      <c r="AM927">
        <f>VLOOKUP(D927,[1]Sheet1!$C$1:$D$191,2,FALSE)</f>
        <v>127</v>
      </c>
    </row>
    <row r="928" spans="1:39" x14ac:dyDescent="0.35">
      <c r="A928">
        <v>2017</v>
      </c>
      <c r="B928" t="s">
        <v>130</v>
      </c>
      <c r="C928">
        <v>127</v>
      </c>
      <c r="D928" t="s">
        <v>313</v>
      </c>
      <c r="E928">
        <v>71723.536448379833</v>
      </c>
      <c r="F928">
        <v>2422392.5153000341</v>
      </c>
      <c r="G928">
        <v>2494116.0517484141</v>
      </c>
      <c r="H928">
        <v>11367527508.113501</v>
      </c>
      <c r="I928">
        <v>11527458709.0158</v>
      </c>
      <c r="J928">
        <v>7.5000000016413368E-2</v>
      </c>
      <c r="K928">
        <v>3815.3747426036998</v>
      </c>
      <c r="L928">
        <v>7.9654460646140998E-2</v>
      </c>
      <c r="M928">
        <v>3533.8850360700699</v>
      </c>
      <c r="N928">
        <v>0.96955326881613801</v>
      </c>
      <c r="O928">
        <v>87.202376539837005</v>
      </c>
      <c r="P928">
        <v>51.542585805579101</v>
      </c>
      <c r="Q928">
        <v>22.6297249923647</v>
      </c>
      <c r="R928">
        <v>2979400</v>
      </c>
      <c r="S928">
        <v>-4.3110650670053138E-3</v>
      </c>
      <c r="T928">
        <v>34.545000000000002</v>
      </c>
      <c r="U928">
        <v>4.1100000000000003</v>
      </c>
      <c r="V928">
        <v>63.736685999999999</v>
      </c>
      <c r="W928">
        <v>4.1665320000000001</v>
      </c>
      <c r="X928">
        <v>53.506050000000002</v>
      </c>
      <c r="Y928">
        <v>64.744900000000001</v>
      </c>
      <c r="Z928">
        <v>55.506551952349398</v>
      </c>
      <c r="AJ928">
        <v>-0.20939391851425171</v>
      </c>
      <c r="AK928">
        <v>0.22839732468128199</v>
      </c>
      <c r="AL928">
        <v>5.7848775000000012E-2</v>
      </c>
      <c r="AM928">
        <f>VLOOKUP(D928,[1]Sheet1!$C$1:$D$191,2,FALSE)</f>
        <v>127</v>
      </c>
    </row>
    <row r="929" spans="1:39" x14ac:dyDescent="0.35">
      <c r="A929">
        <v>2018</v>
      </c>
      <c r="B929" t="s">
        <v>130</v>
      </c>
      <c r="C929">
        <v>127</v>
      </c>
      <c r="D929" t="s">
        <v>313</v>
      </c>
      <c r="E929">
        <v>18793.65192</v>
      </c>
      <c r="F929">
        <v>184013243.88545001</v>
      </c>
      <c r="G929">
        <v>184032037.53737</v>
      </c>
      <c r="H929">
        <v>11958638938.496</v>
      </c>
      <c r="I929">
        <v>12457940694.7395</v>
      </c>
      <c r="J929">
        <v>5.1999999996533784E-2</v>
      </c>
      <c r="K929">
        <v>4027.8339301097899</v>
      </c>
      <c r="L929">
        <v>5.5685011785003069E-2</v>
      </c>
      <c r="M929">
        <v>3815.3747426036998</v>
      </c>
      <c r="N929">
        <v>2.5202338200163799</v>
      </c>
      <c r="O929">
        <v>92.473107021212002</v>
      </c>
      <c r="P929">
        <v>55.502002733359397</v>
      </c>
      <c r="Q929">
        <v>22.0768137564949</v>
      </c>
      <c r="R929">
        <v>2969000</v>
      </c>
      <c r="S929">
        <v>-3.4906356984627778E-3</v>
      </c>
      <c r="T929">
        <v>39.430999999999997</v>
      </c>
      <c r="U929">
        <v>4.79</v>
      </c>
      <c r="V929">
        <v>64.114165999999997</v>
      </c>
      <c r="W929">
        <v>4.3109719999999996</v>
      </c>
      <c r="X929">
        <v>54.658749999999998</v>
      </c>
      <c r="Y929">
        <v>68.245099999999994</v>
      </c>
      <c r="Z929">
        <v>57.458535768135398</v>
      </c>
      <c r="AJ929">
        <v>-0.19721436500549319</v>
      </c>
      <c r="AK929">
        <v>0.3505902886390686</v>
      </c>
      <c r="AL929">
        <v>4.4313500000000013E-2</v>
      </c>
      <c r="AM929">
        <f>VLOOKUP(D929,[1]Sheet1!$C$1:$D$191,2,FALSE)</f>
        <v>127</v>
      </c>
    </row>
    <row r="930" spans="1:39" x14ac:dyDescent="0.35">
      <c r="A930">
        <v>2019</v>
      </c>
      <c r="B930" t="s">
        <v>130</v>
      </c>
      <c r="C930">
        <v>127</v>
      </c>
      <c r="D930" t="s">
        <v>313</v>
      </c>
      <c r="E930">
        <v>69226.751497439996</v>
      </c>
      <c r="F930">
        <v>468868943.20604211</v>
      </c>
      <c r="G930">
        <v>468938169.95753956</v>
      </c>
      <c r="H930">
        <v>12867495497.6469</v>
      </c>
      <c r="I930">
        <v>13619290539.211599</v>
      </c>
      <c r="J930">
        <v>7.5999999985383274E-2</v>
      </c>
      <c r="K930">
        <v>4343.4583958301901</v>
      </c>
      <c r="L930">
        <v>7.8360843867213995E-2</v>
      </c>
      <c r="M930">
        <v>4027.8339301097899</v>
      </c>
      <c r="N930">
        <v>1.4434466077069801</v>
      </c>
      <c r="O930">
        <v>96.114154128870794</v>
      </c>
      <c r="P930">
        <v>60.1552379151791</v>
      </c>
      <c r="Q930">
        <v>21.758480572008501</v>
      </c>
      <c r="R930">
        <v>2962500</v>
      </c>
      <c r="S930">
        <v>-2.1892893230043785E-3</v>
      </c>
      <c r="T930">
        <v>41.86</v>
      </c>
      <c r="U930">
        <v>5.54</v>
      </c>
      <c r="V930">
        <v>65.542208000000002</v>
      </c>
      <c r="W930">
        <v>4.3820680000000003</v>
      </c>
      <c r="X930">
        <v>55.036610000000003</v>
      </c>
      <c r="Y930">
        <v>66.543899999999994</v>
      </c>
      <c r="Z930">
        <v>53.594417478553403</v>
      </c>
      <c r="AJ930">
        <v>-0.17746451497077939</v>
      </c>
      <c r="AK930">
        <v>0.2426042705774307</v>
      </c>
      <c r="AL930">
        <v>3.1691150000000001E-2</v>
      </c>
      <c r="AM930">
        <f>VLOOKUP(D930,[1]Sheet1!$C$1:$D$191,2,FALSE)</f>
        <v>127</v>
      </c>
    </row>
    <row r="931" spans="1:39" x14ac:dyDescent="0.35">
      <c r="A931">
        <v>2020</v>
      </c>
      <c r="B931" t="s">
        <v>130</v>
      </c>
      <c r="C931">
        <v>127</v>
      </c>
      <c r="D931" t="s">
        <v>313</v>
      </c>
      <c r="E931">
        <v>43840.1</v>
      </c>
      <c r="F931">
        <v>128944948.09</v>
      </c>
      <c r="G931">
        <v>128988788.19</v>
      </c>
      <c r="H931">
        <v>11941035821.918501</v>
      </c>
      <c r="I931">
        <v>12641698583.2152</v>
      </c>
      <c r="J931">
        <v>-7.1999999992059249E-2</v>
      </c>
      <c r="K931">
        <v>4032.0904345495501</v>
      </c>
      <c r="L931">
        <v>-7.1686645273167496E-2</v>
      </c>
      <c r="M931">
        <v>4343.4583958301901</v>
      </c>
      <c r="N931">
        <v>1.2114357783846501</v>
      </c>
      <c r="O931">
        <v>69.488807539607606</v>
      </c>
      <c r="P931">
        <v>72.192914085851598</v>
      </c>
      <c r="Q931">
        <v>26.581287777843698</v>
      </c>
      <c r="R931">
        <v>2961500</v>
      </c>
      <c r="S931">
        <v>-3.3755274261603374E-4</v>
      </c>
      <c r="T931">
        <v>40.554000000000002</v>
      </c>
      <c r="U931">
        <v>5.35</v>
      </c>
      <c r="V931">
        <v>65.517921999999999</v>
      </c>
      <c r="W931">
        <v>4.219017</v>
      </c>
      <c r="X931">
        <v>56.396810000000002</v>
      </c>
      <c r="Y931">
        <v>76.5077</v>
      </c>
      <c r="Z931">
        <v>52.333153444864202</v>
      </c>
      <c r="AJ931">
        <v>-0.1258314251899719</v>
      </c>
      <c r="AK931">
        <v>0.23874802887439731</v>
      </c>
      <c r="AL931">
        <v>3.4849825000000001E-2</v>
      </c>
      <c r="AM931">
        <f>VLOOKUP(D931,[1]Sheet1!$C$1:$D$191,2,FALSE)</f>
        <v>127</v>
      </c>
    </row>
    <row r="932" spans="1:39" x14ac:dyDescent="0.35">
      <c r="A932">
        <v>2015</v>
      </c>
      <c r="B932" t="s">
        <v>131</v>
      </c>
      <c r="C932">
        <v>128</v>
      </c>
      <c r="D932" t="s">
        <v>366</v>
      </c>
      <c r="E932">
        <v>37419.691707266873</v>
      </c>
      <c r="G932">
        <v>37419.691707266873</v>
      </c>
      <c r="H932">
        <v>56454889146.608803</v>
      </c>
      <c r="I932">
        <v>56454889146.608803</v>
      </c>
      <c r="J932">
        <v>-3.8295705582838561E-2</v>
      </c>
      <c r="K932">
        <v>5967.0685603422698</v>
      </c>
      <c r="L932">
        <v>-3.9572512538217697E-2</v>
      </c>
      <c r="M932">
        <v>6212.9298028652202</v>
      </c>
      <c r="N932">
        <v>13.5344897649735</v>
      </c>
      <c r="O932">
        <v>115.913691469247</v>
      </c>
      <c r="P932">
        <v>27.882761172283399</v>
      </c>
      <c r="Q932">
        <v>28.110439801635</v>
      </c>
      <c r="R932">
        <v>9461076</v>
      </c>
      <c r="S932">
        <v>1.3294152573182134E-3</v>
      </c>
      <c r="U932">
        <v>3.62</v>
      </c>
      <c r="V932">
        <v>55.715665000000001</v>
      </c>
      <c r="W932">
        <v>4.348598</v>
      </c>
      <c r="X932">
        <v>59.941369999999999</v>
      </c>
      <c r="Y932">
        <v>62.230400000000003</v>
      </c>
      <c r="Z932">
        <v>93.7888271999214</v>
      </c>
      <c r="AJ932">
        <v>-0.87921744585037231</v>
      </c>
      <c r="AK932">
        <v>-1.166400194168091</v>
      </c>
      <c r="AL932">
        <v>2.10219E-2</v>
      </c>
      <c r="AM932">
        <f>VLOOKUP(D932,[1]Sheet1!$C$1:$D$191,2,FALSE)</f>
        <v>128</v>
      </c>
    </row>
    <row r="933" spans="1:39" x14ac:dyDescent="0.35">
      <c r="A933">
        <v>2016</v>
      </c>
      <c r="B933" t="s">
        <v>131</v>
      </c>
      <c r="C933">
        <v>128</v>
      </c>
      <c r="D933" t="s">
        <v>366</v>
      </c>
      <c r="E933">
        <v>145643.6231554501</v>
      </c>
      <c r="G933">
        <v>145643.6231554501</v>
      </c>
      <c r="H933">
        <v>55028586612.085403</v>
      </c>
      <c r="I933">
        <v>47723545321.259003</v>
      </c>
      <c r="J933">
        <v>-2.5264464355237798E-2</v>
      </c>
      <c r="K933">
        <v>5811.21387285116</v>
      </c>
      <c r="L933">
        <v>-2.6119138051628164E-2</v>
      </c>
      <c r="M933">
        <v>5967.0685603422698</v>
      </c>
      <c r="N933">
        <v>11.8365807653497</v>
      </c>
      <c r="O933">
        <v>125.209322899662</v>
      </c>
      <c r="P933">
        <v>25.717029141960399</v>
      </c>
      <c r="Q933">
        <v>29.4170537971155</v>
      </c>
      <c r="R933">
        <v>9469379</v>
      </c>
      <c r="S933">
        <v>8.7759574069587855E-4</v>
      </c>
      <c r="T933">
        <v>14.387</v>
      </c>
      <c r="U933">
        <v>3.54</v>
      </c>
      <c r="V933">
        <v>55.479716000000003</v>
      </c>
      <c r="W933">
        <v>6.5005949999999997</v>
      </c>
      <c r="X933">
        <v>58.115810000000003</v>
      </c>
      <c r="Y933">
        <v>71.113</v>
      </c>
      <c r="Z933">
        <v>91.520675773447707</v>
      </c>
      <c r="AJ933">
        <v>-0.76732504367828369</v>
      </c>
      <c r="AK933">
        <v>-1.090832591056824</v>
      </c>
      <c r="AL933">
        <v>0.14334264999999999</v>
      </c>
      <c r="AM933">
        <f>VLOOKUP(D933,[1]Sheet1!$C$1:$D$191,2,FALSE)</f>
        <v>128</v>
      </c>
    </row>
    <row r="934" spans="1:39" x14ac:dyDescent="0.35">
      <c r="A934">
        <v>2017</v>
      </c>
      <c r="B934" t="s">
        <v>131</v>
      </c>
      <c r="C934">
        <v>128</v>
      </c>
      <c r="D934" t="s">
        <v>366</v>
      </c>
      <c r="E934">
        <v>723.32653530744005</v>
      </c>
      <c r="G934">
        <v>723.32653530744005</v>
      </c>
      <c r="H934">
        <v>56422011402.686302</v>
      </c>
      <c r="I934">
        <v>54725302249.8088</v>
      </c>
      <c r="J934">
        <v>2.5321835002298135E-2</v>
      </c>
      <c r="K934">
        <v>5964.9092945013799</v>
      </c>
      <c r="L934">
        <v>2.6448075223707478E-2</v>
      </c>
      <c r="M934">
        <v>5811.21387285116</v>
      </c>
      <c r="N934">
        <v>6.0318372517779304</v>
      </c>
      <c r="O934">
        <v>133.36800695994299</v>
      </c>
      <c r="P934">
        <v>26.236164018232</v>
      </c>
      <c r="Q934">
        <v>29.321660856375502</v>
      </c>
      <c r="R934">
        <v>9458989</v>
      </c>
      <c r="S934">
        <v>-1.0972208420425458E-3</v>
      </c>
      <c r="T934">
        <v>17.16</v>
      </c>
      <c r="U934">
        <v>3.13</v>
      </c>
      <c r="V934">
        <v>55.898313000000002</v>
      </c>
      <c r="W934">
        <v>5.9719740000000003</v>
      </c>
      <c r="X934">
        <v>54.144460000000002</v>
      </c>
      <c r="Y934">
        <v>74.436400000000006</v>
      </c>
      <c r="Z934">
        <v>89.470647935473494</v>
      </c>
      <c r="AJ934">
        <v>-0.88167381286621094</v>
      </c>
      <c r="AK934">
        <v>-0.85944265127182007</v>
      </c>
      <c r="AL934">
        <v>7.5407725000000009E-2</v>
      </c>
      <c r="AM934">
        <f>VLOOKUP(D934,[1]Sheet1!$C$1:$D$191,2,FALSE)</f>
        <v>128</v>
      </c>
    </row>
    <row r="935" spans="1:39" x14ac:dyDescent="0.35">
      <c r="A935">
        <v>2019</v>
      </c>
      <c r="B935" t="s">
        <v>131</v>
      </c>
      <c r="C935">
        <v>128</v>
      </c>
      <c r="D935" t="s">
        <v>366</v>
      </c>
      <c r="E935">
        <v>58149.353391179997</v>
      </c>
      <c r="F935">
        <v>3959487.899309997</v>
      </c>
      <c r="G935">
        <v>4017637.2527011768</v>
      </c>
      <c r="H935">
        <v>59040672510.789398</v>
      </c>
      <c r="I935">
        <v>64410122847.3508</v>
      </c>
      <c r="J935">
        <v>1.4464554769181391E-2</v>
      </c>
      <c r="K935">
        <v>6267.7483339582004</v>
      </c>
      <c r="L935">
        <v>1.6513675042080882E-2</v>
      </c>
      <c r="M935">
        <v>6165.9262318322799</v>
      </c>
      <c r="N935">
        <v>5.5981559503985396</v>
      </c>
      <c r="O935">
        <v>130.850132114123</v>
      </c>
      <c r="P935">
        <v>28.768902656384501</v>
      </c>
      <c r="Q935">
        <v>28.588369217891799</v>
      </c>
      <c r="R935">
        <v>9419758</v>
      </c>
      <c r="S935">
        <v>-2.0158314867856405E-3</v>
      </c>
      <c r="T935">
        <v>17.663</v>
      </c>
      <c r="U935">
        <v>2.48</v>
      </c>
      <c r="V935">
        <v>54.945771999999998</v>
      </c>
      <c r="W935">
        <v>4.7357699999999996</v>
      </c>
      <c r="X935">
        <v>50.058639999999997</v>
      </c>
      <c r="Y935">
        <v>82.789199999999994</v>
      </c>
      <c r="Z935">
        <v>81.292195325451402</v>
      </c>
      <c r="AJ935">
        <v>-0.8594130277633667</v>
      </c>
      <c r="AK935">
        <v>-0.6730964183807373</v>
      </c>
      <c r="AL935">
        <v>3.3828575E-2</v>
      </c>
      <c r="AM935">
        <f>VLOOKUP(D935,[1]Sheet1!$C$1:$D$191,2,FALSE)</f>
        <v>128</v>
      </c>
    </row>
    <row r="936" spans="1:39" x14ac:dyDescent="0.35">
      <c r="A936">
        <v>2020</v>
      </c>
      <c r="B936" t="s">
        <v>131</v>
      </c>
      <c r="C936">
        <v>128</v>
      </c>
      <c r="D936" t="s">
        <v>366</v>
      </c>
      <c r="E936">
        <v>17214.060275979999</v>
      </c>
      <c r="F936">
        <v>15316970.64832955</v>
      </c>
      <c r="G936">
        <v>15334184.70860553</v>
      </c>
      <c r="H936">
        <v>58643480548.472</v>
      </c>
      <c r="I936">
        <v>61371755326.2351</v>
      </c>
      <c r="J936">
        <v>-6.7274295062410266E-3</v>
      </c>
      <c r="K936">
        <v>6252.0022009144604</v>
      </c>
      <c r="L936">
        <v>-2.5122471747036461E-3</v>
      </c>
      <c r="M936">
        <v>6267.7483339582004</v>
      </c>
      <c r="N936">
        <v>5.5481435745651098</v>
      </c>
      <c r="O936">
        <v>118.933883690331</v>
      </c>
      <c r="P936">
        <v>32.5082534186921</v>
      </c>
      <c r="Q936">
        <v>29.928139684065702</v>
      </c>
      <c r="R936">
        <v>9379952</v>
      </c>
      <c r="S936">
        <v>-4.2257985820867159E-3</v>
      </c>
      <c r="T936">
        <v>17.529</v>
      </c>
      <c r="U936">
        <v>2.59</v>
      </c>
      <c r="V936">
        <v>55.971964</v>
      </c>
      <c r="W936">
        <v>3.8086190000000002</v>
      </c>
      <c r="X936">
        <v>50.64085</v>
      </c>
      <c r="Y936">
        <v>85.087900000000005</v>
      </c>
      <c r="Z936">
        <v>79.900160036935006</v>
      </c>
      <c r="AJ936">
        <v>-1.085174083709717</v>
      </c>
      <c r="AK936">
        <v>-0.79987579584121704</v>
      </c>
      <c r="AL936">
        <v>3.1356975000000002E-2</v>
      </c>
      <c r="AM936">
        <f>VLOOKUP(D936,[1]Sheet1!$C$1:$D$191,2,FALSE)</f>
        <v>128</v>
      </c>
    </row>
    <row r="937" spans="1:39" x14ac:dyDescent="0.35">
      <c r="A937">
        <v>2015</v>
      </c>
      <c r="B937" t="s">
        <v>132</v>
      </c>
      <c r="C937">
        <v>129</v>
      </c>
      <c r="D937" t="s">
        <v>314</v>
      </c>
      <c r="E937">
        <v>31260.427820999888</v>
      </c>
      <c r="G937">
        <v>31260.427820999888</v>
      </c>
      <c r="H937">
        <v>16404348871.443701</v>
      </c>
      <c r="I937">
        <v>16404348871.443701</v>
      </c>
      <c r="J937">
        <v>4.3147506111632657E-2</v>
      </c>
      <c r="K937">
        <v>4662.2588372406899</v>
      </c>
      <c r="L937">
        <v>5.6870583876790018E-2</v>
      </c>
      <c r="M937">
        <v>4411.3810227726199</v>
      </c>
      <c r="N937">
        <v>-1.0360230342547401</v>
      </c>
      <c r="O937">
        <v>88.291989840760806</v>
      </c>
      <c r="P937">
        <v>57.968272080622498</v>
      </c>
      <c r="Q937">
        <v>36.478207704643701</v>
      </c>
      <c r="R937">
        <v>3518541</v>
      </c>
      <c r="S937">
        <v>-1.298463404556011E-2</v>
      </c>
      <c r="T937">
        <v>25.375</v>
      </c>
      <c r="U937">
        <v>4.83</v>
      </c>
      <c r="V937">
        <v>51.915007000000003</v>
      </c>
      <c r="W937">
        <v>3.6408299999999998</v>
      </c>
      <c r="X937">
        <v>38.981299999999997</v>
      </c>
      <c r="Y937">
        <v>52.6</v>
      </c>
      <c r="Z937">
        <v>55.533660888671903</v>
      </c>
      <c r="AJ937">
        <v>-0.26457223296165472</v>
      </c>
      <c r="AK937">
        <v>-0.184997484087944</v>
      </c>
      <c r="AL937">
        <v>9.2070525000000014E-2</v>
      </c>
      <c r="AM937">
        <f>VLOOKUP(D937,[1]Sheet1!$C$1:$D$191,2,FALSE)</f>
        <v>129</v>
      </c>
    </row>
    <row r="938" spans="1:39" x14ac:dyDescent="0.35">
      <c r="A938">
        <v>2016</v>
      </c>
      <c r="B938" t="s">
        <v>132</v>
      </c>
      <c r="C938">
        <v>129</v>
      </c>
      <c r="D938" t="s">
        <v>314</v>
      </c>
      <c r="E938">
        <v>21345.652035599891</v>
      </c>
      <c r="G938">
        <v>21345.652035599891</v>
      </c>
      <c r="H938">
        <v>16936219727.676701</v>
      </c>
      <c r="I938">
        <v>17116926327.624701</v>
      </c>
      <c r="J938">
        <v>3.2422552117193013E-2</v>
      </c>
      <c r="K938">
        <v>4876.5347244666</v>
      </c>
      <c r="L938">
        <v>4.5959672061606748E-2</v>
      </c>
      <c r="M938">
        <v>4662.2588372406899</v>
      </c>
      <c r="N938">
        <v>-1.5840083333333601</v>
      </c>
      <c r="O938">
        <v>88.244035168554703</v>
      </c>
      <c r="P938">
        <v>57.1711788687374</v>
      </c>
      <c r="Q938">
        <v>34.901023609268798</v>
      </c>
      <c r="R938">
        <v>3473003</v>
      </c>
      <c r="S938">
        <v>-1.29422962529071E-2</v>
      </c>
      <c r="T938">
        <v>24.344000000000001</v>
      </c>
      <c r="U938">
        <v>4.87</v>
      </c>
      <c r="V938">
        <v>52.481923000000002</v>
      </c>
      <c r="W938">
        <v>4.2698900000000002</v>
      </c>
      <c r="X938">
        <v>38.97139</v>
      </c>
      <c r="Y938">
        <v>60.256500000000003</v>
      </c>
      <c r="Z938">
        <v>56.9546089172363</v>
      </c>
      <c r="AJ938">
        <v>-0.1930054575204849</v>
      </c>
      <c r="AK938">
        <v>-0.1390208899974823</v>
      </c>
      <c r="AL938">
        <v>0.137493375</v>
      </c>
      <c r="AM938">
        <f>VLOOKUP(D938,[1]Sheet1!$C$1:$D$191,2,FALSE)</f>
        <v>129</v>
      </c>
    </row>
    <row r="939" spans="1:39" x14ac:dyDescent="0.35">
      <c r="A939">
        <v>2017</v>
      </c>
      <c r="B939" t="s">
        <v>132</v>
      </c>
      <c r="C939">
        <v>129</v>
      </c>
      <c r="D939" t="s">
        <v>314</v>
      </c>
      <c r="E939">
        <v>9512.7808253351996</v>
      </c>
      <c r="G939">
        <v>9512.7808253351996</v>
      </c>
      <c r="H939">
        <v>17485647794.262699</v>
      </c>
      <c r="I939">
        <v>18326373366.1105</v>
      </c>
      <c r="J939">
        <v>3.2441009588942589E-2</v>
      </c>
      <c r="K939">
        <v>5099.8161375895297</v>
      </c>
      <c r="L939">
        <v>4.5786901096526583E-2</v>
      </c>
      <c r="M939">
        <v>4876.5347244666</v>
      </c>
      <c r="N939">
        <v>0.81003942533389495</v>
      </c>
      <c r="O939">
        <v>96.645879141118897</v>
      </c>
      <c r="P939">
        <v>57.523652839258403</v>
      </c>
      <c r="Q939">
        <v>33.8899252873302</v>
      </c>
      <c r="R939">
        <v>3428682</v>
      </c>
      <c r="S939">
        <v>-1.2761578380439061E-2</v>
      </c>
      <c r="T939">
        <v>23.872</v>
      </c>
      <c r="U939">
        <v>4.87</v>
      </c>
      <c r="V939">
        <v>53.893140000000002</v>
      </c>
      <c r="W939">
        <v>4.4883699999999997</v>
      </c>
      <c r="X939">
        <v>39.119610000000002</v>
      </c>
      <c r="Y939">
        <v>64.891999999999996</v>
      </c>
      <c r="Z939">
        <v>54.528678894042997</v>
      </c>
      <c r="AJ939">
        <v>-0.20181369781494141</v>
      </c>
      <c r="AK939">
        <v>-5.7750977575778961E-2</v>
      </c>
      <c r="AL939">
        <v>0.101762425</v>
      </c>
      <c r="AM939">
        <f>VLOOKUP(D939,[1]Sheet1!$C$1:$D$191,2,FALSE)</f>
        <v>129</v>
      </c>
    </row>
    <row r="940" spans="1:39" x14ac:dyDescent="0.35">
      <c r="A940">
        <v>2018</v>
      </c>
      <c r="B940" t="s">
        <v>132</v>
      </c>
      <c r="C940">
        <v>129</v>
      </c>
      <c r="D940" t="s">
        <v>314</v>
      </c>
      <c r="E940">
        <v>69127.190749999994</v>
      </c>
      <c r="G940">
        <v>69127.190749999994</v>
      </c>
      <c r="H940">
        <v>18154910824.659302</v>
      </c>
      <c r="I940">
        <v>20484053868.924599</v>
      </c>
      <c r="J940">
        <v>3.8274992054695152E-2</v>
      </c>
      <c r="K940">
        <v>5360.1744389309897</v>
      </c>
      <c r="L940">
        <v>5.1052487838222436E-2</v>
      </c>
      <c r="M940">
        <v>5099.8161375895297</v>
      </c>
      <c r="N940">
        <v>1.41710814018034</v>
      </c>
      <c r="O940">
        <v>98.432091196186903</v>
      </c>
      <c r="P940">
        <v>56.659522986662203</v>
      </c>
      <c r="Q940">
        <v>34.499347466174299</v>
      </c>
      <c r="R940">
        <v>3387000</v>
      </c>
      <c r="S940">
        <v>-1.2156857941331391E-2</v>
      </c>
      <c r="T940">
        <v>21.145</v>
      </c>
      <c r="U940">
        <v>4.9800000000000004</v>
      </c>
      <c r="V940">
        <v>55.839696000000004</v>
      </c>
      <c r="W940">
        <v>3.8088320000000002</v>
      </c>
      <c r="X940">
        <v>43.054580000000001</v>
      </c>
      <c r="Y940">
        <v>70.120099999999994</v>
      </c>
      <c r="Z940">
        <v>49.798751831054702</v>
      </c>
      <c r="AJ940">
        <v>-0.22558066248893741</v>
      </c>
      <c r="AK940">
        <v>-0.1413946598768234</v>
      </c>
      <c r="AL940">
        <v>8.3316850000000012E-2</v>
      </c>
      <c r="AM940">
        <f>VLOOKUP(D940,[1]Sheet1!$C$1:$D$191,2,FALSE)</f>
        <v>129</v>
      </c>
    </row>
    <row r="941" spans="1:39" x14ac:dyDescent="0.35">
      <c r="A941">
        <v>2019</v>
      </c>
      <c r="B941" t="s">
        <v>132</v>
      </c>
      <c r="C941">
        <v>129</v>
      </c>
      <c r="D941" t="s">
        <v>314</v>
      </c>
      <c r="E941">
        <v>12409.687965679999</v>
      </c>
      <c r="F941">
        <v>19346.481158400002</v>
      </c>
      <c r="G941">
        <v>31756.169124079999</v>
      </c>
      <c r="H941">
        <v>18679105433.991199</v>
      </c>
      <c r="I941">
        <v>20482608755.379002</v>
      </c>
      <c r="J941">
        <v>2.8873433441485102E-2</v>
      </c>
      <c r="K941">
        <v>5583.2973203346601</v>
      </c>
      <c r="L941">
        <v>4.1626048544824788E-2</v>
      </c>
      <c r="M941">
        <v>5360.1744389309897</v>
      </c>
      <c r="N941">
        <v>0.56278215406123</v>
      </c>
      <c r="O941">
        <v>94.516127887424204</v>
      </c>
      <c r="P941">
        <v>57.169103288685697</v>
      </c>
      <c r="Q941">
        <v>34.052168924635502</v>
      </c>
      <c r="R941">
        <v>3345533</v>
      </c>
      <c r="S941">
        <v>-1.2242987894892235E-2</v>
      </c>
      <c r="T941">
        <v>22.010999999999999</v>
      </c>
      <c r="U941">
        <v>4.8600000000000003</v>
      </c>
      <c r="V941">
        <v>58.239525999999998</v>
      </c>
      <c r="W941">
        <v>3.7419959999999999</v>
      </c>
      <c r="X941">
        <v>43.406030000000001</v>
      </c>
      <c r="Y941">
        <v>69.946299999999994</v>
      </c>
      <c r="Z941">
        <v>46.667789459228501</v>
      </c>
      <c r="AJ941">
        <v>-0.22580970823764801</v>
      </c>
      <c r="AK941">
        <v>-0.12873539328575129</v>
      </c>
      <c r="AL941">
        <v>6.3351950000000004E-2</v>
      </c>
      <c r="AM941">
        <f>VLOOKUP(D941,[1]Sheet1!$C$1:$D$191,2,FALSE)</f>
        <v>129</v>
      </c>
    </row>
    <row r="942" spans="1:39" x14ac:dyDescent="0.35">
      <c r="A942">
        <v>2020</v>
      </c>
      <c r="B942" t="s">
        <v>132</v>
      </c>
      <c r="C942">
        <v>129</v>
      </c>
      <c r="D942" t="s">
        <v>314</v>
      </c>
      <c r="E942">
        <v>291250.92036125</v>
      </c>
      <c r="F942">
        <v>19717.550149999999</v>
      </c>
      <c r="G942">
        <v>310968.47051125002</v>
      </c>
      <c r="H942">
        <v>18115912632.4361</v>
      </c>
      <c r="I942">
        <v>20226036564.412899</v>
      </c>
      <c r="J942">
        <v>-3.0150951475986235E-2</v>
      </c>
      <c r="K942">
        <v>5490.7536706289902</v>
      </c>
      <c r="L942">
        <v>-1.6575088947640503E-2</v>
      </c>
      <c r="M942">
        <v>5583.2973203346601</v>
      </c>
      <c r="N942">
        <v>-1.0512960076349001</v>
      </c>
      <c r="O942">
        <v>82.111265257289801</v>
      </c>
      <c r="P942">
        <v>57.658566953300202</v>
      </c>
      <c r="Q942">
        <v>38.3614659355678</v>
      </c>
      <c r="R942">
        <v>3299349</v>
      </c>
      <c r="S942">
        <v>-1.3804676265336494E-2</v>
      </c>
      <c r="T942">
        <v>22.436</v>
      </c>
      <c r="U942">
        <v>4.84</v>
      </c>
      <c r="V942">
        <v>58.016801999999998</v>
      </c>
      <c r="W942">
        <v>3.6488079999999998</v>
      </c>
      <c r="X942">
        <v>43.0032</v>
      </c>
      <c r="Y942">
        <v>73.211799999999997</v>
      </c>
      <c r="Z942">
        <v>43.803920745849602</v>
      </c>
      <c r="AJ942">
        <v>-0.31613734364509583</v>
      </c>
      <c r="AK942">
        <v>-0.18239288032054901</v>
      </c>
      <c r="AL942">
        <v>9.5082750000000008E-2</v>
      </c>
      <c r="AM942">
        <f>VLOOKUP(D942,[1]Sheet1!$C$1:$D$191,2,FALSE)</f>
        <v>129</v>
      </c>
    </row>
    <row r="943" spans="1:39" x14ac:dyDescent="0.35">
      <c r="A943">
        <v>2015</v>
      </c>
      <c r="B943" t="s">
        <v>133</v>
      </c>
      <c r="C943">
        <v>130</v>
      </c>
      <c r="D943" t="s">
        <v>315</v>
      </c>
      <c r="E943">
        <v>1292621.63206</v>
      </c>
      <c r="G943">
        <v>1292621.6320599997</v>
      </c>
      <c r="H943">
        <v>50811995688.677101</v>
      </c>
      <c r="I943">
        <v>50811995688.677101</v>
      </c>
      <c r="J943">
        <v>3.3975532586941068E-2</v>
      </c>
      <c r="K943">
        <v>7078.8603229896898</v>
      </c>
      <c r="L943">
        <v>4.0594107867375176E-2</v>
      </c>
      <c r="M943">
        <v>6802.7103646563201</v>
      </c>
      <c r="N943">
        <v>-0.10463326100838501</v>
      </c>
      <c r="O943">
        <v>126.73664221295</v>
      </c>
      <c r="P943">
        <v>54.794597015613903</v>
      </c>
      <c r="Q943">
        <v>34.3487048419682</v>
      </c>
      <c r="R943">
        <v>7177991</v>
      </c>
      <c r="S943">
        <v>-6.3603812768049783E-3</v>
      </c>
      <c r="T943">
        <v>26.553999999999998</v>
      </c>
      <c r="U943">
        <v>7.14</v>
      </c>
      <c r="V943">
        <v>91.266261</v>
      </c>
      <c r="W943">
        <v>3.4300419999999998</v>
      </c>
      <c r="X943">
        <v>56.394399999999997</v>
      </c>
      <c r="Y943">
        <v>56.656300000000002</v>
      </c>
      <c r="Z943">
        <v>78.299957275390597</v>
      </c>
      <c r="AJ943">
        <v>-0.15949355065822601</v>
      </c>
      <c r="AK943">
        <v>0.57826828956604004</v>
      </c>
      <c r="AL943">
        <v>0.12412715000000001</v>
      </c>
      <c r="AM943">
        <f>VLOOKUP(D943,[1]Sheet1!$C$1:$D$191,2,FALSE)</f>
        <v>130</v>
      </c>
    </row>
    <row r="944" spans="1:39" x14ac:dyDescent="0.35">
      <c r="A944">
        <v>2016</v>
      </c>
      <c r="B944" t="s">
        <v>133</v>
      </c>
      <c r="C944">
        <v>130</v>
      </c>
      <c r="D944" t="s">
        <v>315</v>
      </c>
      <c r="E944">
        <v>118833.8824413823</v>
      </c>
      <c r="F944">
        <v>1399907.19</v>
      </c>
      <c r="G944">
        <v>1518741.0724413823</v>
      </c>
      <c r="H944">
        <v>52349886250.806801</v>
      </c>
      <c r="I944">
        <v>53964253211.839996</v>
      </c>
      <c r="J944">
        <v>3.0266289313891324E-2</v>
      </c>
      <c r="K944">
        <v>7344.44354121172</v>
      </c>
      <c r="L944">
        <v>3.7517793275212354E-2</v>
      </c>
      <c r="M944">
        <v>7078.8603229896898</v>
      </c>
      <c r="N944">
        <v>-0.79864988645371005</v>
      </c>
      <c r="O944">
        <v>122.805514356513</v>
      </c>
      <c r="P944">
        <v>52.019750215835003</v>
      </c>
      <c r="Q944">
        <v>32.092123793198198</v>
      </c>
      <c r="R944">
        <v>7127822</v>
      </c>
      <c r="S944">
        <v>-6.9892815413114895E-3</v>
      </c>
      <c r="T944">
        <v>25.161999999999999</v>
      </c>
      <c r="U944">
        <v>7.01</v>
      </c>
      <c r="V944">
        <v>94.164826000000005</v>
      </c>
      <c r="W944">
        <v>3.8488699999999998</v>
      </c>
      <c r="X944">
        <v>56.266019999999997</v>
      </c>
      <c r="Y944">
        <v>59.825499999999998</v>
      </c>
      <c r="Z944">
        <v>80.639961242675795</v>
      </c>
      <c r="AJ944">
        <v>-0.14044380187988281</v>
      </c>
      <c r="AK944">
        <v>0.7012900710105896</v>
      </c>
      <c r="AL944">
        <v>8.4230599999999989E-2</v>
      </c>
      <c r="AM944">
        <f>VLOOKUP(D944,[1]Sheet1!$C$1:$D$191,2,FALSE)</f>
        <v>130</v>
      </c>
    </row>
    <row r="945" spans="1:39" x14ac:dyDescent="0.35">
      <c r="A945">
        <v>2017</v>
      </c>
      <c r="B945" t="s">
        <v>133</v>
      </c>
      <c r="C945">
        <v>130</v>
      </c>
      <c r="D945" t="s">
        <v>315</v>
      </c>
      <c r="E945">
        <v>166035.3859643488</v>
      </c>
      <c r="F945">
        <v>11881673.569395641</v>
      </c>
      <c r="G945">
        <v>12047708.955359988</v>
      </c>
      <c r="H945">
        <v>53787375622.383003</v>
      </c>
      <c r="I945">
        <v>59309748166.117897</v>
      </c>
      <c r="J945">
        <v>2.7459264470780932E-2</v>
      </c>
      <c r="K945">
        <v>7601.4384537338901</v>
      </c>
      <c r="L945">
        <v>3.4991747309391114E-2</v>
      </c>
      <c r="M945">
        <v>7344.44354121172</v>
      </c>
      <c r="N945">
        <v>2.0615961944314098</v>
      </c>
      <c r="O945">
        <v>129.63442904800399</v>
      </c>
      <c r="P945">
        <v>49.803888117101302</v>
      </c>
      <c r="Q945">
        <v>32.053809859234001</v>
      </c>
      <c r="R945">
        <v>7075947</v>
      </c>
      <c r="S945">
        <v>-7.2778192272478183E-3</v>
      </c>
      <c r="T945">
        <v>27.178000000000001</v>
      </c>
      <c r="U945">
        <v>7.03</v>
      </c>
      <c r="V945">
        <v>94.667107999999999</v>
      </c>
      <c r="W945">
        <v>3.8719760000000001</v>
      </c>
      <c r="X945">
        <v>49.390639999999998</v>
      </c>
      <c r="Y945">
        <v>63.4101</v>
      </c>
      <c r="Z945">
        <v>81.224586486816406</v>
      </c>
      <c r="AJ945">
        <v>-0.1249605640769005</v>
      </c>
      <c r="AK945">
        <v>0.65778660774230957</v>
      </c>
      <c r="AL945">
        <v>0.124881275</v>
      </c>
      <c r="AM945">
        <f>VLOOKUP(D945,[1]Sheet1!$C$1:$D$191,2,FALSE)</f>
        <v>130</v>
      </c>
    </row>
    <row r="946" spans="1:39" x14ac:dyDescent="0.35">
      <c r="A946">
        <v>2018</v>
      </c>
      <c r="B946" t="s">
        <v>133</v>
      </c>
      <c r="C946">
        <v>130</v>
      </c>
      <c r="D946" t="s">
        <v>315</v>
      </c>
      <c r="E946">
        <v>331947.88769399998</v>
      </c>
      <c r="F946">
        <v>40056108.186861001</v>
      </c>
      <c r="G946">
        <v>40388056.074555002</v>
      </c>
      <c r="H946">
        <v>55158665587.1604</v>
      </c>
      <c r="I946">
        <v>66289266348.650398</v>
      </c>
      <c r="J946">
        <v>2.549464347181777E-2</v>
      </c>
      <c r="K946">
        <v>7851.7259890816804</v>
      </c>
      <c r="L946">
        <v>3.2926338464905537E-2</v>
      </c>
      <c r="M946">
        <v>7601.4384537338901</v>
      </c>
      <c r="N946">
        <v>2.8145447382482902</v>
      </c>
      <c r="O946">
        <v>128.865565279241</v>
      </c>
      <c r="P946">
        <v>50.422860271352803</v>
      </c>
      <c r="Q946">
        <v>33.136835413319602</v>
      </c>
      <c r="R946">
        <v>7025037</v>
      </c>
      <c r="S946">
        <v>-7.194796682338067E-3</v>
      </c>
      <c r="T946">
        <v>27.23</v>
      </c>
      <c r="U946">
        <v>7.03</v>
      </c>
      <c r="V946">
        <v>93.404669999999996</v>
      </c>
      <c r="W946">
        <v>3.2054520000000002</v>
      </c>
      <c r="X946">
        <v>52.599780000000003</v>
      </c>
      <c r="Y946">
        <v>64.781999999999996</v>
      </c>
      <c r="Z946">
        <v>83.134880065917997</v>
      </c>
      <c r="AJ946">
        <v>-0.1058498322963715</v>
      </c>
      <c r="AK946">
        <v>0.60575270652770996</v>
      </c>
      <c r="AL946">
        <v>5.9759774999999987E-2</v>
      </c>
      <c r="AM946">
        <f>VLOOKUP(D946,[1]Sheet1!$C$1:$D$191,2,FALSE)</f>
        <v>130</v>
      </c>
    </row>
    <row r="947" spans="1:39" x14ac:dyDescent="0.35">
      <c r="A947">
        <v>2019</v>
      </c>
      <c r="B947" t="s">
        <v>133</v>
      </c>
      <c r="C947">
        <v>130</v>
      </c>
      <c r="D947" t="s">
        <v>315</v>
      </c>
      <c r="E947">
        <v>580441.67292004998</v>
      </c>
      <c r="F947">
        <v>67081373.590589307</v>
      </c>
      <c r="G947">
        <v>67661815.263509363</v>
      </c>
      <c r="H947">
        <v>57248544889.4673</v>
      </c>
      <c r="I947">
        <v>68631726289.279404</v>
      </c>
      <c r="J947">
        <v>3.7888503647799873E-2</v>
      </c>
      <c r="K947">
        <v>8206.7812944662692</v>
      </c>
      <c r="L947">
        <v>4.5220032624459332E-2</v>
      </c>
      <c r="M947">
        <v>7851.7259890816804</v>
      </c>
      <c r="N947">
        <v>3.1037294479678099</v>
      </c>
      <c r="O947">
        <v>125.02996314069399</v>
      </c>
      <c r="P947">
        <v>49.740802601600699</v>
      </c>
      <c r="Q947">
        <v>33.181551166926397</v>
      </c>
      <c r="R947">
        <v>6975761</v>
      </c>
      <c r="S947">
        <v>-7.0143402803430075E-3</v>
      </c>
      <c r="T947">
        <v>29.838999999999999</v>
      </c>
      <c r="U947">
        <v>7.03</v>
      </c>
      <c r="V947">
        <v>94.331632999999997</v>
      </c>
      <c r="W947">
        <v>2.7963580000000001</v>
      </c>
      <c r="X947">
        <v>57.248950000000001</v>
      </c>
      <c r="Y947">
        <v>67.947000000000003</v>
      </c>
      <c r="Z947">
        <v>84.750312805175795</v>
      </c>
      <c r="AJ947">
        <v>-3.7413392215967178E-2</v>
      </c>
      <c r="AK947">
        <v>0.53080618381500244</v>
      </c>
      <c r="AL947">
        <v>7.1318275E-2</v>
      </c>
      <c r="AM947">
        <f>VLOOKUP(D947,[1]Sheet1!$C$1:$D$191,2,FALSE)</f>
        <v>130</v>
      </c>
    </row>
    <row r="948" spans="1:39" x14ac:dyDescent="0.35">
      <c r="A948">
        <v>2020</v>
      </c>
      <c r="B948" t="s">
        <v>133</v>
      </c>
      <c r="C948">
        <v>130</v>
      </c>
      <c r="D948" t="s">
        <v>315</v>
      </c>
      <c r="E948">
        <v>458298.99914700002</v>
      </c>
      <c r="F948">
        <v>52868072.333415247</v>
      </c>
      <c r="G948">
        <v>53326371.332562253</v>
      </c>
      <c r="H948">
        <v>55407582000.778702</v>
      </c>
      <c r="I948">
        <v>70716821234.596695</v>
      </c>
      <c r="J948">
        <v>-3.2157374344501506E-2</v>
      </c>
      <c r="K948">
        <v>7990.6925498111405</v>
      </c>
      <c r="L948">
        <v>-2.6330510939877816E-2</v>
      </c>
      <c r="M948">
        <v>8206.7812944662692</v>
      </c>
      <c r="N948">
        <v>1.6724409685575601</v>
      </c>
      <c r="O948">
        <v>110.324081132354</v>
      </c>
      <c r="P948">
        <v>51.256828347399299</v>
      </c>
      <c r="Q948">
        <v>36.5047636721443</v>
      </c>
      <c r="R948">
        <v>6934015</v>
      </c>
      <c r="S948">
        <v>-5.9844366800984152E-3</v>
      </c>
      <c r="T948">
        <v>28.881</v>
      </c>
      <c r="U948">
        <v>6.71</v>
      </c>
      <c r="V948">
        <v>91.36439</v>
      </c>
      <c r="W948">
        <v>2.83961</v>
      </c>
      <c r="X948">
        <v>59.384619999999998</v>
      </c>
      <c r="Y948">
        <v>70.162499999999994</v>
      </c>
      <c r="Z948">
        <v>85.533111572265597</v>
      </c>
      <c r="AI948">
        <v>1</v>
      </c>
      <c r="AJ948">
        <v>-0.12767298519611359</v>
      </c>
      <c r="AK948">
        <v>0.46099072694778442</v>
      </c>
      <c r="AL948">
        <v>7.3014375000000006E-2</v>
      </c>
      <c r="AM948">
        <f>VLOOKUP(D948,[1]Sheet1!$C$1:$D$191,2,FALSE)</f>
        <v>130</v>
      </c>
    </row>
    <row r="949" spans="1:39" x14ac:dyDescent="0.35">
      <c r="A949">
        <v>2015</v>
      </c>
      <c r="B949" t="s">
        <v>134</v>
      </c>
      <c r="C949">
        <v>131</v>
      </c>
      <c r="D949" t="s">
        <v>367</v>
      </c>
      <c r="E949">
        <v>1040</v>
      </c>
      <c r="G949">
        <v>1040</v>
      </c>
      <c r="H949">
        <v>1695825714.1928201</v>
      </c>
      <c r="I949">
        <v>1695825714.1928201</v>
      </c>
      <c r="J949">
        <v>4.337121030202036E-2</v>
      </c>
      <c r="K949">
        <v>366.322853938121</v>
      </c>
      <c r="L949">
        <v>4.1987807882482055E-2</v>
      </c>
      <c r="M949">
        <v>351.56155491162502</v>
      </c>
      <c r="N949">
        <v>1.4029701713681599</v>
      </c>
      <c r="O949">
        <v>53.145147776962098</v>
      </c>
      <c r="P949">
        <v>11.715433596118899</v>
      </c>
      <c r="Q949">
        <v>9.3065584415876099</v>
      </c>
      <c r="R949">
        <v>4629320</v>
      </c>
      <c r="S949">
        <v>1.3276570119887126E-3</v>
      </c>
      <c r="U949">
        <v>1.57</v>
      </c>
      <c r="AJ949">
        <v>-1.71155834197998</v>
      </c>
      <c r="AK949">
        <v>-1.443189144134521</v>
      </c>
      <c r="AM949">
        <f>VLOOKUP(D949,[1]Sheet1!$C$1:$D$191,2,FALSE)</f>
        <v>131</v>
      </c>
    </row>
    <row r="950" spans="1:39" x14ac:dyDescent="0.35">
      <c r="A950">
        <v>2016</v>
      </c>
      <c r="B950" t="s">
        <v>134</v>
      </c>
      <c r="C950">
        <v>131</v>
      </c>
      <c r="D950" t="s">
        <v>367</v>
      </c>
      <c r="E950">
        <v>1600.41874474371</v>
      </c>
      <c r="G950">
        <v>1600.41874474371</v>
      </c>
      <c r="H950">
        <v>1776382808.69192</v>
      </c>
      <c r="I950">
        <v>1825018144.6559501</v>
      </c>
      <c r="J950">
        <v>4.7503168412234849E-2</v>
      </c>
      <c r="K950">
        <v>376.85825412039799</v>
      </c>
      <c r="L950">
        <v>2.8759876892793097E-2</v>
      </c>
      <c r="M950">
        <v>366.322853938121</v>
      </c>
      <c r="N950">
        <v>4.94543276106518</v>
      </c>
      <c r="O950">
        <v>50.53064402191</v>
      </c>
      <c r="P950">
        <v>12.3148432385651</v>
      </c>
      <c r="Q950">
        <v>9.0213455269270195</v>
      </c>
      <c r="R950">
        <v>4713663</v>
      </c>
      <c r="S950">
        <v>1.8219306507219202E-2</v>
      </c>
      <c r="U950">
        <v>1.61</v>
      </c>
      <c r="AJ950">
        <v>-1.8510274887084961</v>
      </c>
      <c r="AK950">
        <v>-1.4167939424514771</v>
      </c>
      <c r="AM950">
        <f>VLOOKUP(D950,[1]Sheet1!$C$1:$D$191,2,FALSE)</f>
        <v>131</v>
      </c>
    </row>
    <row r="951" spans="1:39" x14ac:dyDescent="0.35">
      <c r="A951">
        <v>2018</v>
      </c>
      <c r="B951" t="s">
        <v>134</v>
      </c>
      <c r="C951">
        <v>131</v>
      </c>
      <c r="D951" t="s">
        <v>367</v>
      </c>
      <c r="E951">
        <v>105.55</v>
      </c>
      <c r="G951">
        <v>105.55</v>
      </c>
      <c r="H951">
        <v>1927167163.54408</v>
      </c>
      <c r="I951">
        <v>2220979146.1124101</v>
      </c>
      <c r="J951">
        <v>3.7894435927547432E-2</v>
      </c>
      <c r="K951">
        <v>395.020015455909</v>
      </c>
      <c r="L951">
        <v>1.9780319759617793E-2</v>
      </c>
      <c r="M951">
        <v>387.35795131741997</v>
      </c>
      <c r="N951">
        <v>1.61215686991555</v>
      </c>
      <c r="O951">
        <v>49.6602000024318</v>
      </c>
      <c r="P951">
        <v>12.344331994471601</v>
      </c>
      <c r="Q951">
        <v>10.1233533419528</v>
      </c>
      <c r="R951">
        <v>4878657</v>
      </c>
      <c r="S951">
        <v>1.7762763035278316E-2</v>
      </c>
      <c r="U951">
        <v>1.52</v>
      </c>
      <c r="AJ951">
        <v>-1.7171630859375</v>
      </c>
      <c r="AK951">
        <v>-1.3943260908126831</v>
      </c>
      <c r="AM951">
        <f>VLOOKUP(D951,[1]Sheet1!$C$1:$D$191,2,FALSE)</f>
        <v>131</v>
      </c>
    </row>
    <row r="952" spans="1:39" x14ac:dyDescent="0.35">
      <c r="A952">
        <v>2019</v>
      </c>
      <c r="B952" t="s">
        <v>134</v>
      </c>
      <c r="C952">
        <v>131</v>
      </c>
      <c r="D952" t="s">
        <v>367</v>
      </c>
      <c r="E952">
        <v>10995.47404263</v>
      </c>
      <c r="G952">
        <v>10995.47404263</v>
      </c>
      <c r="H952">
        <v>1986909345.61394</v>
      </c>
      <c r="I952">
        <v>2221301351.4391799</v>
      </c>
      <c r="J952">
        <v>3.0999999999996627E-2</v>
      </c>
      <c r="K952">
        <v>401.82582161434999</v>
      </c>
      <c r="L952">
        <v>1.722901597931974E-2</v>
      </c>
      <c r="M952">
        <v>395.020015455909</v>
      </c>
      <c r="N952">
        <v>2.6853735526678699</v>
      </c>
      <c r="O952">
        <v>50.065800001486799</v>
      </c>
      <c r="P952">
        <v>11.705014562500599</v>
      </c>
      <c r="Q952">
        <v>9.9393390976080607</v>
      </c>
      <c r="R952">
        <v>4944703</v>
      </c>
      <c r="S952">
        <v>1.3537742046632915E-2</v>
      </c>
      <c r="U952">
        <v>1.32</v>
      </c>
      <c r="AJ952">
        <v>-1.765260696411133</v>
      </c>
      <c r="AK952">
        <v>-1.3838744163513179</v>
      </c>
      <c r="AM952">
        <f>VLOOKUP(D952,[1]Sheet1!$C$1:$D$191,2,FALSE)</f>
        <v>131</v>
      </c>
    </row>
    <row r="953" spans="1:39" x14ac:dyDescent="0.35">
      <c r="A953">
        <v>2015</v>
      </c>
      <c r="B953" t="s">
        <v>135</v>
      </c>
      <c r="C953">
        <v>132</v>
      </c>
      <c r="D953" t="s">
        <v>316</v>
      </c>
      <c r="E953">
        <v>70687</v>
      </c>
      <c r="G953">
        <v>70687</v>
      </c>
      <c r="H953">
        <v>56441920820.519402</v>
      </c>
      <c r="I953">
        <v>56441920820.519402</v>
      </c>
      <c r="J953">
        <v>3.6520809680287009E-2</v>
      </c>
      <c r="K953">
        <v>11714.710598073199</v>
      </c>
      <c r="L953">
        <v>2.5566433000797223E-2</v>
      </c>
      <c r="M953">
        <v>11422.673579317599</v>
      </c>
      <c r="N953">
        <v>0.80198200509962303</v>
      </c>
      <c r="O953">
        <v>60.753561939520999</v>
      </c>
      <c r="P953">
        <v>55.127248430209697</v>
      </c>
      <c r="Q953">
        <v>28.5548940715519</v>
      </c>
      <c r="R953">
        <v>4818038</v>
      </c>
      <c r="S953">
        <v>1.0681294089784627E-2</v>
      </c>
      <c r="T953">
        <v>60.857999999999997</v>
      </c>
      <c r="U953">
        <v>7.96</v>
      </c>
      <c r="V953">
        <v>60.598287999999997</v>
      </c>
      <c r="W953">
        <v>4.9815940000000003</v>
      </c>
      <c r="X953">
        <v>64.758409999999998</v>
      </c>
      <c r="Y953">
        <v>59.762999999999998</v>
      </c>
      <c r="Z953">
        <v>51.284580230712898</v>
      </c>
      <c r="AJ953">
        <v>0.49279892444610601</v>
      </c>
      <c r="AK953">
        <v>0.66446614265441895</v>
      </c>
      <c r="AL953">
        <v>5.7865649999999998E-2</v>
      </c>
      <c r="AM953">
        <f>VLOOKUP(D953,[1]Sheet1!$C$1:$D$191,2,FALSE)</f>
        <v>132</v>
      </c>
    </row>
    <row r="954" spans="1:39" x14ac:dyDescent="0.35">
      <c r="A954">
        <v>2016</v>
      </c>
      <c r="B954" t="s">
        <v>135</v>
      </c>
      <c r="C954">
        <v>132</v>
      </c>
      <c r="D954" t="s">
        <v>316</v>
      </c>
      <c r="E954">
        <v>141298.27470465441</v>
      </c>
      <c r="G954">
        <v>141298.27470465441</v>
      </c>
      <c r="H954">
        <v>58814921621.315903</v>
      </c>
      <c r="I954">
        <v>58847019609.6549</v>
      </c>
      <c r="J954">
        <v>4.2043232517589998E-2</v>
      </c>
      <c r="K954">
        <v>12084.4351325634</v>
      </c>
      <c r="L954">
        <v>3.156070578056034E-2</v>
      </c>
      <c r="M954">
        <v>11714.710598073199</v>
      </c>
      <c r="N954">
        <v>-1.7478850590821701E-2</v>
      </c>
      <c r="O954">
        <v>62.178478176829501</v>
      </c>
      <c r="P954">
        <v>58.638053772552297</v>
      </c>
      <c r="Q954">
        <v>27.146733417133099</v>
      </c>
      <c r="R954">
        <v>4866998</v>
      </c>
      <c r="S954">
        <v>1.016181275448637E-2</v>
      </c>
      <c r="T954">
        <v>56.695</v>
      </c>
      <c r="U954">
        <v>7.88</v>
      </c>
      <c r="V954">
        <v>63.257401000000002</v>
      </c>
      <c r="W954">
        <v>5.5514840000000003</v>
      </c>
      <c r="X954">
        <v>60.389870000000002</v>
      </c>
      <c r="Y954">
        <v>65.880399999999995</v>
      </c>
      <c r="Z954">
        <v>51.651641845703097</v>
      </c>
      <c r="AJ954">
        <v>0.4310416579246521</v>
      </c>
      <c r="AK954">
        <v>0.52647954225540161</v>
      </c>
      <c r="AL954">
        <v>0.1008064</v>
      </c>
      <c r="AM954">
        <f>VLOOKUP(D954,[1]Sheet1!$C$1:$D$191,2,FALSE)</f>
        <v>132</v>
      </c>
    </row>
    <row r="955" spans="1:39" x14ac:dyDescent="0.35">
      <c r="A955">
        <v>2017</v>
      </c>
      <c r="B955" t="s">
        <v>135</v>
      </c>
      <c r="C955">
        <v>132</v>
      </c>
      <c r="D955" t="s">
        <v>316</v>
      </c>
      <c r="E955">
        <v>166952.1</v>
      </c>
      <c r="F955">
        <v>9797025</v>
      </c>
      <c r="G955">
        <v>9963977.0999999996</v>
      </c>
      <c r="H955">
        <v>61260269007.514</v>
      </c>
      <c r="I955">
        <v>60516044656.520599</v>
      </c>
      <c r="J955">
        <v>4.1576989627609161E-2</v>
      </c>
      <c r="K955">
        <v>12468.565453170901</v>
      </c>
      <c r="L955">
        <v>3.1787197034340617E-2</v>
      </c>
      <c r="M955">
        <v>12084.4351325634</v>
      </c>
      <c r="N955">
        <v>1.6259069299173201</v>
      </c>
      <c r="O955">
        <v>65.071953743881494</v>
      </c>
      <c r="P955">
        <v>59.685906013444701</v>
      </c>
      <c r="Q955">
        <v>25.396728375290099</v>
      </c>
      <c r="R955">
        <v>4913177</v>
      </c>
      <c r="S955">
        <v>9.4881896396916531E-3</v>
      </c>
      <c r="T955">
        <v>57.386000000000003</v>
      </c>
      <c r="U955">
        <v>7.88</v>
      </c>
      <c r="V955">
        <v>64.247138000000007</v>
      </c>
      <c r="W955">
        <v>5.190372</v>
      </c>
      <c r="X955">
        <v>57.566949999999999</v>
      </c>
      <c r="Y955">
        <v>71.581699999999998</v>
      </c>
      <c r="Z955">
        <v>54.449230194091797</v>
      </c>
      <c r="AJ955">
        <v>0.42886871099472051</v>
      </c>
      <c r="AK955">
        <v>0.43350425362586981</v>
      </c>
      <c r="AL955">
        <v>0.12555282500000001</v>
      </c>
      <c r="AM955">
        <f>VLOOKUP(D955,[1]Sheet1!$C$1:$D$191,2,FALSE)</f>
        <v>132</v>
      </c>
    </row>
    <row r="956" spans="1:39" x14ac:dyDescent="0.35">
      <c r="A956">
        <v>2018</v>
      </c>
      <c r="B956" t="s">
        <v>135</v>
      </c>
      <c r="C956">
        <v>132</v>
      </c>
      <c r="D956" t="s">
        <v>316</v>
      </c>
      <c r="E956">
        <v>202816.32168600001</v>
      </c>
      <c r="F956">
        <v>17819427.569451999</v>
      </c>
      <c r="G956">
        <v>18022243.891137999</v>
      </c>
      <c r="H956">
        <v>62862779082.590797</v>
      </c>
      <c r="I956">
        <v>62420164991.537399</v>
      </c>
      <c r="J956">
        <v>2.615904404337889E-2</v>
      </c>
      <c r="K956">
        <v>12679.5253643016</v>
      </c>
      <c r="L956">
        <v>1.6919341035904832E-2</v>
      </c>
      <c r="M956">
        <v>12468.565453170901</v>
      </c>
      <c r="N956">
        <v>2.2211146152658099</v>
      </c>
      <c r="O956">
        <v>66.945342016636005</v>
      </c>
      <c r="P956">
        <v>60.304459465327298</v>
      </c>
      <c r="Q956">
        <v>28.9192248274544</v>
      </c>
      <c r="R956">
        <v>4957818</v>
      </c>
      <c r="S956">
        <v>9.0859743094946505E-3</v>
      </c>
      <c r="T956">
        <v>60.369</v>
      </c>
      <c r="U956">
        <v>8.07</v>
      </c>
      <c r="V956">
        <v>74.339140999999998</v>
      </c>
      <c r="W956">
        <v>5.0889730000000002</v>
      </c>
      <c r="X956">
        <v>55.050359999999998</v>
      </c>
      <c r="Y956">
        <v>73.479699999999994</v>
      </c>
      <c r="Z956">
        <v>52.614089965820298</v>
      </c>
      <c r="AJ956">
        <v>0.46783536672592158</v>
      </c>
      <c r="AK956">
        <v>0.47617271542549128</v>
      </c>
      <c r="AL956">
        <v>9.6263175000000006E-2</v>
      </c>
      <c r="AM956">
        <f>VLOOKUP(D956,[1]Sheet1!$C$1:$D$191,2,FALSE)</f>
        <v>132</v>
      </c>
    </row>
    <row r="957" spans="1:39" x14ac:dyDescent="0.35">
      <c r="A957">
        <v>2019</v>
      </c>
      <c r="B957" t="s">
        <v>135</v>
      </c>
      <c r="C957">
        <v>132</v>
      </c>
      <c r="D957" t="s">
        <v>316</v>
      </c>
      <c r="E957">
        <v>37813.657666630002</v>
      </c>
      <c r="F957">
        <v>53411801.903630003</v>
      </c>
      <c r="G957">
        <v>53449615.561296634</v>
      </c>
      <c r="H957">
        <v>64382494195.800003</v>
      </c>
      <c r="I957">
        <v>64417670521.3545</v>
      </c>
      <c r="J957">
        <v>2.4175118176251217E-2</v>
      </c>
      <c r="K957">
        <v>12877.650101079</v>
      </c>
      <c r="L957">
        <v>1.5625564134696009E-2</v>
      </c>
      <c r="M957">
        <v>12679.5253643016</v>
      </c>
      <c r="N957">
        <v>2.0960463532780702</v>
      </c>
      <c r="O957">
        <v>65.760530017662205</v>
      </c>
      <c r="P957">
        <v>56.178106505074702</v>
      </c>
      <c r="Q957">
        <v>29.6382263485119</v>
      </c>
      <c r="R957">
        <v>4999553</v>
      </c>
      <c r="S957">
        <v>8.4180177650732633E-3</v>
      </c>
      <c r="T957">
        <v>61.115000000000002</v>
      </c>
      <c r="U957">
        <v>8.1300000000000008</v>
      </c>
      <c r="V957">
        <v>70.514037000000002</v>
      </c>
      <c r="W957">
        <v>5.8433440000000001</v>
      </c>
      <c r="X957">
        <v>55.334339999999997</v>
      </c>
      <c r="Y957">
        <v>81.202600000000004</v>
      </c>
      <c r="Z957">
        <v>55.020290374755902</v>
      </c>
      <c r="AJ957">
        <v>0.52946418523788452</v>
      </c>
      <c r="AK957">
        <v>0.5446619987487793</v>
      </c>
      <c r="AL957">
        <v>5.3116574999999999E-2</v>
      </c>
      <c r="AM957">
        <f>VLOOKUP(D957,[1]Sheet1!$C$1:$D$191,2,FALSE)</f>
        <v>132</v>
      </c>
    </row>
    <row r="958" spans="1:39" x14ac:dyDescent="0.35">
      <c r="A958">
        <v>2020</v>
      </c>
      <c r="B958" t="s">
        <v>135</v>
      </c>
      <c r="C958">
        <v>132</v>
      </c>
      <c r="D958" t="s">
        <v>316</v>
      </c>
      <c r="E958">
        <v>181623.16114288001</v>
      </c>
      <c r="F958">
        <v>73978575.771981001</v>
      </c>
      <c r="G958">
        <v>74160198.933123887</v>
      </c>
      <c r="H958">
        <v>61631202097.720497</v>
      </c>
      <c r="I958">
        <v>62395610760.049202</v>
      </c>
      <c r="J958">
        <v>-4.2733543216146273E-2</v>
      </c>
      <c r="K958">
        <v>12242.209890853301</v>
      </c>
      <c r="L958">
        <v>-4.9344422719829639E-2</v>
      </c>
      <c r="M958">
        <v>12877.650101079</v>
      </c>
      <c r="N958">
        <v>0.72491147813137602</v>
      </c>
      <c r="O958">
        <v>60.139886250953303</v>
      </c>
      <c r="P958">
        <v>60.135533086807897</v>
      </c>
      <c r="Q958">
        <v>32.2534448885594</v>
      </c>
      <c r="R958">
        <v>5034320</v>
      </c>
      <c r="S958">
        <v>6.9540216895390451E-3</v>
      </c>
      <c r="T958">
        <v>57.558999999999997</v>
      </c>
      <c r="U958">
        <v>8.16</v>
      </c>
      <c r="V958">
        <v>66.821865000000003</v>
      </c>
      <c r="W958">
        <v>4.9494800000000003</v>
      </c>
      <c r="X958">
        <v>54.449379999999998</v>
      </c>
      <c r="Y958">
        <v>80.530199999999994</v>
      </c>
      <c r="AJ958">
        <v>0.49883243441581732</v>
      </c>
      <c r="AK958">
        <v>0.47757959365844732</v>
      </c>
      <c r="AL958">
        <v>4.1778349999999999E-2</v>
      </c>
      <c r="AM958">
        <f>VLOOKUP(D958,[1]Sheet1!$C$1:$D$191,2,FALSE)</f>
        <v>132</v>
      </c>
    </row>
    <row r="959" spans="1:39" x14ac:dyDescent="0.35">
      <c r="A959">
        <v>2015</v>
      </c>
      <c r="B959" t="s">
        <v>136</v>
      </c>
      <c r="C959">
        <v>133</v>
      </c>
      <c r="D959" t="s">
        <v>317</v>
      </c>
      <c r="E959">
        <v>205557.76579699991</v>
      </c>
      <c r="G959">
        <v>205557.76579699991</v>
      </c>
      <c r="H959">
        <v>51005200669.694099</v>
      </c>
      <c r="I959">
        <v>51005200669.694099</v>
      </c>
      <c r="J959">
        <v>2.3231751580385807E-2</v>
      </c>
      <c r="K959">
        <v>12285.303258210501</v>
      </c>
      <c r="L959">
        <v>3.5523422427214825E-2</v>
      </c>
      <c r="M959">
        <v>11863.8584044911</v>
      </c>
      <c r="N959">
        <v>-0.46449900464491101</v>
      </c>
      <c r="O959">
        <v>90.640941098951203</v>
      </c>
      <c r="P959">
        <v>63.171961531758001</v>
      </c>
      <c r="Q959">
        <v>41.668498604970097</v>
      </c>
      <c r="R959">
        <v>4151725</v>
      </c>
      <c r="S959">
        <v>-1.1870007554268638E-2</v>
      </c>
      <c r="T959">
        <v>22.797999999999998</v>
      </c>
      <c r="U959">
        <v>6.93</v>
      </c>
      <c r="V959">
        <v>122.98325</v>
      </c>
      <c r="W959">
        <v>3.072959</v>
      </c>
      <c r="X959">
        <v>64.387590000000003</v>
      </c>
      <c r="Y959">
        <v>69.844999999999999</v>
      </c>
      <c r="Z959">
        <v>68.441398620605497</v>
      </c>
      <c r="AA959">
        <v>2018</v>
      </c>
      <c r="AB959">
        <v>2019</v>
      </c>
      <c r="AC959">
        <v>0</v>
      </c>
      <c r="AD959">
        <v>0</v>
      </c>
      <c r="AE959">
        <v>1</v>
      </c>
      <c r="AF959">
        <v>1</v>
      </c>
      <c r="AJ959">
        <v>0.12741246819496149</v>
      </c>
      <c r="AK959">
        <v>0.2375626415014267</v>
      </c>
      <c r="AL959">
        <v>3.8010700000000001E-2</v>
      </c>
      <c r="AM959">
        <f>VLOOKUP(D959,[1]Sheet1!$C$1:$D$191,2,FALSE)</f>
        <v>133</v>
      </c>
    </row>
    <row r="960" spans="1:39" x14ac:dyDescent="0.35">
      <c r="A960">
        <v>2016</v>
      </c>
      <c r="B960" t="s">
        <v>136</v>
      </c>
      <c r="C960">
        <v>133</v>
      </c>
      <c r="D960" t="s">
        <v>317</v>
      </c>
      <c r="E960">
        <v>324854.82749122422</v>
      </c>
      <c r="G960">
        <v>324854.82749122422</v>
      </c>
      <c r="H960">
        <v>52770556703.125198</v>
      </c>
      <c r="I960">
        <v>52654855638.105698</v>
      </c>
      <c r="J960">
        <v>3.4611294735676347E-2</v>
      </c>
      <c r="K960">
        <v>12849.34640034</v>
      </c>
      <c r="L960">
        <v>4.5912024333020759E-2</v>
      </c>
      <c r="M960">
        <v>12285.303258210501</v>
      </c>
      <c r="N960">
        <v>-1.12500000000002</v>
      </c>
      <c r="O960">
        <v>92.130789086168903</v>
      </c>
      <c r="P960">
        <v>58.987177589746203</v>
      </c>
      <c r="Q960">
        <v>40.227213899192002</v>
      </c>
      <c r="R960">
        <v>4106867</v>
      </c>
      <c r="S960">
        <v>-1.0804665530592705E-2</v>
      </c>
      <c r="T960">
        <v>21.048999999999999</v>
      </c>
      <c r="U960">
        <v>6.75</v>
      </c>
      <c r="V960">
        <v>127.41018</v>
      </c>
      <c r="W960">
        <v>3.3479589999999999</v>
      </c>
      <c r="X960">
        <v>60.349580000000003</v>
      </c>
      <c r="Y960">
        <v>72.697299999999998</v>
      </c>
      <c r="Z960">
        <v>69.588951110839801</v>
      </c>
      <c r="AA960">
        <v>2018</v>
      </c>
      <c r="AB960">
        <v>2019</v>
      </c>
      <c r="AC960">
        <v>0</v>
      </c>
      <c r="AD960">
        <v>0</v>
      </c>
      <c r="AE960">
        <v>1</v>
      </c>
      <c r="AF960">
        <v>1</v>
      </c>
      <c r="AJ960">
        <v>0.33985698223114008</v>
      </c>
      <c r="AK960">
        <v>0.238647386431694</v>
      </c>
      <c r="AL960">
        <v>4.3827999999999999E-2</v>
      </c>
      <c r="AM960">
        <f>VLOOKUP(D960,[1]Sheet1!$C$1:$D$191,2,FALSE)</f>
        <v>133</v>
      </c>
    </row>
    <row r="961" spans="1:39" x14ac:dyDescent="0.35">
      <c r="A961">
        <v>2017</v>
      </c>
      <c r="B961" t="s">
        <v>136</v>
      </c>
      <c r="C961">
        <v>133</v>
      </c>
      <c r="D961" t="s">
        <v>317</v>
      </c>
      <c r="E961">
        <v>521500.19199368259</v>
      </c>
      <c r="G961">
        <v>521500.19199368265</v>
      </c>
      <c r="H961">
        <v>54501936568.9879</v>
      </c>
      <c r="I961">
        <v>56186190437.995903</v>
      </c>
      <c r="J961">
        <v>3.2809581214066762E-2</v>
      </c>
      <c r="K961">
        <v>13485.881666703701</v>
      </c>
      <c r="L961">
        <v>4.9538338101528447E-2</v>
      </c>
      <c r="M961">
        <v>12849.34640034</v>
      </c>
      <c r="N961">
        <v>1.12937210282347</v>
      </c>
      <c r="O961">
        <v>97.221331404420397</v>
      </c>
      <c r="P961">
        <v>55.980123545571097</v>
      </c>
      <c r="Q961">
        <v>39.232313010900398</v>
      </c>
      <c r="R961">
        <v>4041407</v>
      </c>
      <c r="S961">
        <v>-1.5939157513501168E-2</v>
      </c>
      <c r="T961">
        <v>18.943999999999999</v>
      </c>
      <c r="U961">
        <v>6.63</v>
      </c>
      <c r="V961">
        <v>140.01014000000001</v>
      </c>
      <c r="W961">
        <v>3.5912440000000001</v>
      </c>
      <c r="X961">
        <v>63.707909999999998</v>
      </c>
      <c r="Y961">
        <v>67.096199999999996</v>
      </c>
      <c r="Z961">
        <v>71.377586364746094</v>
      </c>
      <c r="AA961">
        <v>2018</v>
      </c>
      <c r="AB961">
        <v>2019</v>
      </c>
      <c r="AC961">
        <v>0</v>
      </c>
      <c r="AD961">
        <v>0</v>
      </c>
      <c r="AE961">
        <v>1</v>
      </c>
      <c r="AF961">
        <v>1</v>
      </c>
      <c r="AJ961">
        <v>0.30892258882522577</v>
      </c>
      <c r="AK961">
        <v>0.2994459867477417</v>
      </c>
      <c r="AL961">
        <v>0.1295645</v>
      </c>
      <c r="AM961">
        <f>VLOOKUP(D961,[1]Sheet1!$C$1:$D$191,2,FALSE)</f>
        <v>133</v>
      </c>
    </row>
    <row r="962" spans="1:39" x14ac:dyDescent="0.35">
      <c r="A962">
        <v>2018</v>
      </c>
      <c r="B962" t="s">
        <v>136</v>
      </c>
      <c r="C962">
        <v>133</v>
      </c>
      <c r="D962" t="s">
        <v>317</v>
      </c>
      <c r="E962">
        <v>597282.57301299996</v>
      </c>
      <c r="G962">
        <v>597282.57301299996</v>
      </c>
      <c r="H962">
        <v>56085044234.0737</v>
      </c>
      <c r="I962">
        <v>61668130122.587799</v>
      </c>
      <c r="J962">
        <v>2.9046814934400016E-2</v>
      </c>
      <c r="K962">
        <v>14060.718951074899</v>
      </c>
      <c r="L962">
        <v>4.2625117035577829E-2</v>
      </c>
      <c r="M962">
        <v>13485.881666703701</v>
      </c>
      <c r="N962">
        <v>1.5001250104175601</v>
      </c>
      <c r="O962">
        <v>99.067817973969994</v>
      </c>
      <c r="P962">
        <v>54.273644979407798</v>
      </c>
      <c r="Q962">
        <v>38.708582173319598</v>
      </c>
      <c r="R962">
        <v>3988775</v>
      </c>
      <c r="S962">
        <v>-1.3023187221677994E-2</v>
      </c>
      <c r="T962">
        <v>17.797000000000001</v>
      </c>
      <c r="U962">
        <v>6.57</v>
      </c>
      <c r="V962">
        <v>147.31224</v>
      </c>
      <c r="W962">
        <v>3.0287320000000002</v>
      </c>
      <c r="X962">
        <v>66.467449999999999</v>
      </c>
      <c r="Y962">
        <v>75.294600000000003</v>
      </c>
      <c r="Z962">
        <v>72.862541198730497</v>
      </c>
      <c r="AA962">
        <v>2018</v>
      </c>
      <c r="AB962">
        <v>2019</v>
      </c>
      <c r="AC962">
        <v>1</v>
      </c>
      <c r="AD962">
        <v>0</v>
      </c>
      <c r="AE962">
        <v>1</v>
      </c>
      <c r="AF962">
        <v>1</v>
      </c>
      <c r="AG962">
        <v>0</v>
      </c>
      <c r="AJ962">
        <v>0.3015296459197998</v>
      </c>
      <c r="AK962">
        <v>0.48981836438179022</v>
      </c>
      <c r="AL962">
        <v>7.0125875000000004E-2</v>
      </c>
      <c r="AM962">
        <f>VLOOKUP(D962,[1]Sheet1!$C$1:$D$191,2,FALSE)</f>
        <v>133</v>
      </c>
    </row>
    <row r="963" spans="1:39" x14ac:dyDescent="0.35">
      <c r="A963">
        <v>2019</v>
      </c>
      <c r="B963" t="s">
        <v>136</v>
      </c>
      <c r="C963">
        <v>133</v>
      </c>
      <c r="D963" t="s">
        <v>317</v>
      </c>
      <c r="E963">
        <v>566714.48389434</v>
      </c>
      <c r="F963">
        <v>1832000</v>
      </c>
      <c r="G963">
        <v>2398714.4838943398</v>
      </c>
      <c r="H963">
        <v>57823926882.856598</v>
      </c>
      <c r="I963">
        <v>61467582193.682404</v>
      </c>
      <c r="J963">
        <v>3.100439114437684E-2</v>
      </c>
      <c r="K963">
        <v>14641.229881793501</v>
      </c>
      <c r="L963">
        <v>4.1286006266004122E-2</v>
      </c>
      <c r="M963">
        <v>14060.718951074899</v>
      </c>
      <c r="N963">
        <v>0.77182034649801901</v>
      </c>
      <c r="O963">
        <v>101.38201333032799</v>
      </c>
      <c r="P963">
        <v>52.924722831283198</v>
      </c>
      <c r="Q963">
        <v>38.795725078228102</v>
      </c>
      <c r="R963">
        <v>3949390</v>
      </c>
      <c r="S963">
        <v>-9.8739587968737271E-3</v>
      </c>
      <c r="T963">
        <v>17.794</v>
      </c>
      <c r="U963">
        <v>6.57</v>
      </c>
      <c r="V963">
        <v>156.79785000000001</v>
      </c>
      <c r="W963">
        <v>3.1313049999999998</v>
      </c>
      <c r="X963">
        <v>66.065799999999996</v>
      </c>
      <c r="Y963">
        <v>79.079800000000006</v>
      </c>
      <c r="Z963">
        <v>74.050117492675795</v>
      </c>
      <c r="AA963">
        <v>2018</v>
      </c>
      <c r="AB963">
        <v>2019</v>
      </c>
      <c r="AC963">
        <v>1</v>
      </c>
      <c r="AD963">
        <v>1</v>
      </c>
      <c r="AE963">
        <v>1</v>
      </c>
      <c r="AF963">
        <v>1</v>
      </c>
      <c r="AG963">
        <v>1</v>
      </c>
      <c r="AH963">
        <v>0</v>
      </c>
      <c r="AJ963">
        <v>0.3482685387134552</v>
      </c>
      <c r="AK963">
        <v>0.55251765251159668</v>
      </c>
      <c r="AL963">
        <v>6.8921999999999997E-2</v>
      </c>
      <c r="AM963">
        <f>VLOOKUP(D963,[1]Sheet1!$C$1:$D$191,2,FALSE)</f>
        <v>133</v>
      </c>
    </row>
    <row r="964" spans="1:39" x14ac:dyDescent="0.35">
      <c r="A964">
        <v>2020</v>
      </c>
      <c r="B964" t="s">
        <v>136</v>
      </c>
      <c r="C964">
        <v>133</v>
      </c>
      <c r="D964" t="s">
        <v>317</v>
      </c>
      <c r="E964">
        <v>1262717.3487807999</v>
      </c>
      <c r="F964">
        <v>821279</v>
      </c>
      <c r="G964">
        <v>2083996.3487808001</v>
      </c>
      <c r="H964">
        <v>53017808755.299797</v>
      </c>
      <c r="I964">
        <v>57963370885.079803</v>
      </c>
      <c r="J964">
        <v>-8.3116425788468881E-2</v>
      </c>
      <c r="K964">
        <v>13544.9715102628</v>
      </c>
      <c r="L964">
        <v>-7.4874746205160533E-2</v>
      </c>
      <c r="M964">
        <v>14641.229881793501</v>
      </c>
      <c r="N964">
        <v>0.154811374562106</v>
      </c>
      <c r="O964">
        <v>89.533453800894705</v>
      </c>
      <c r="P964">
        <v>59.1442604279707</v>
      </c>
      <c r="Q964">
        <v>45.541896339620003</v>
      </c>
      <c r="R964">
        <v>3914206</v>
      </c>
      <c r="S964">
        <v>-8.9087175487860149E-3</v>
      </c>
      <c r="T964">
        <v>16.923999999999999</v>
      </c>
      <c r="U964">
        <v>6.5</v>
      </c>
      <c r="V964">
        <v>141.54035999999999</v>
      </c>
      <c r="W964">
        <v>2.9865499999999998</v>
      </c>
      <c r="X964">
        <v>66.878380000000007</v>
      </c>
      <c r="Y964">
        <v>78.320899999999995</v>
      </c>
      <c r="Z964">
        <v>74.738037109375</v>
      </c>
      <c r="AA964">
        <v>2018</v>
      </c>
      <c r="AB964">
        <v>2019</v>
      </c>
      <c r="AC964">
        <v>1</v>
      </c>
      <c r="AD964">
        <v>1</v>
      </c>
      <c r="AE964">
        <v>1</v>
      </c>
      <c r="AF964">
        <v>1</v>
      </c>
      <c r="AG964">
        <v>2</v>
      </c>
      <c r="AH964">
        <v>1</v>
      </c>
      <c r="AJ964">
        <v>0.23618556559085849</v>
      </c>
      <c r="AK964">
        <v>0.36231455206871033</v>
      </c>
      <c r="AL964">
        <v>3.9013500000000013E-2</v>
      </c>
      <c r="AM964">
        <f>VLOOKUP(D964,[1]Sheet1!$C$1:$D$191,2,FALSE)</f>
        <v>133</v>
      </c>
    </row>
    <row r="965" spans="1:39" x14ac:dyDescent="0.35">
      <c r="A965">
        <v>2015</v>
      </c>
      <c r="B965" t="s">
        <v>137</v>
      </c>
      <c r="C965">
        <v>134</v>
      </c>
      <c r="D965" t="s">
        <v>318</v>
      </c>
      <c r="E965">
        <v>49970.505976</v>
      </c>
      <c r="G965">
        <v>49970.505976</v>
      </c>
      <c r="H965">
        <v>19909278416.857498</v>
      </c>
      <c r="I965">
        <v>19909278416.857498</v>
      </c>
      <c r="J965">
        <v>3.4189229903337004E-2</v>
      </c>
      <c r="K965">
        <v>23487.228515625</v>
      </c>
      <c r="L965">
        <v>4.0094202542558764E-2</v>
      </c>
      <c r="M965">
        <v>22581.828125</v>
      </c>
      <c r="N965">
        <v>-2.0969976905310999</v>
      </c>
      <c r="O965">
        <v>137.27642647719301</v>
      </c>
      <c r="P965">
        <v>243.41633734398101</v>
      </c>
      <c r="Q965">
        <v>39.234440321591102</v>
      </c>
      <c r="R965">
        <v>1219502</v>
      </c>
      <c r="S965">
        <v>1.4728727967442198E-2</v>
      </c>
      <c r="T965">
        <v>39.351999999999997</v>
      </c>
      <c r="U965">
        <v>7.53</v>
      </c>
      <c r="V965">
        <v>51.200623999999998</v>
      </c>
      <c r="W965">
        <v>3.217991</v>
      </c>
      <c r="X965">
        <v>76.624189999999999</v>
      </c>
      <c r="Y965">
        <v>71.715699999999998</v>
      </c>
      <c r="Z965">
        <v>60.101230621337898</v>
      </c>
      <c r="AA965">
        <v>2018</v>
      </c>
      <c r="AB965">
        <v>2019</v>
      </c>
      <c r="AC965">
        <v>0</v>
      </c>
      <c r="AD965">
        <v>0</v>
      </c>
      <c r="AE965">
        <v>1</v>
      </c>
      <c r="AF965">
        <v>1</v>
      </c>
      <c r="AJ965">
        <v>1.010267019271851</v>
      </c>
      <c r="AK965">
        <v>1.0476504564285281</v>
      </c>
      <c r="AM965">
        <f>VLOOKUP(D965,[1]Sheet1!$C$1:$D$191,2,FALSE)</f>
        <v>134</v>
      </c>
    </row>
    <row r="966" spans="1:39" x14ac:dyDescent="0.35">
      <c r="A966">
        <v>2016</v>
      </c>
      <c r="B966" t="s">
        <v>137</v>
      </c>
      <c r="C966">
        <v>134</v>
      </c>
      <c r="D966" t="s">
        <v>318</v>
      </c>
      <c r="E966">
        <v>87943.619562085296</v>
      </c>
      <c r="G966">
        <v>87943.619562085296</v>
      </c>
      <c r="H966">
        <v>21218032952.0546</v>
      </c>
      <c r="I966">
        <v>21046462280.5979</v>
      </c>
      <c r="J966">
        <v>6.573591005131349E-2</v>
      </c>
      <c r="K966">
        <v>24916.6328125</v>
      </c>
      <c r="L966">
        <v>6.085878952998143E-2</v>
      </c>
      <c r="M966">
        <v>23487.228515625</v>
      </c>
      <c r="N966">
        <v>-1.42916666666665</v>
      </c>
      <c r="O966">
        <v>139.02209845724801</v>
      </c>
      <c r="P966">
        <v>216.24275737179701</v>
      </c>
      <c r="Q966">
        <v>35.960724559446703</v>
      </c>
      <c r="R966">
        <v>1237112</v>
      </c>
      <c r="S966">
        <v>1.4440320721081229E-2</v>
      </c>
      <c r="T966">
        <v>38.667000000000002</v>
      </c>
      <c r="U966">
        <v>7.65</v>
      </c>
      <c r="V966">
        <v>50.064456999999997</v>
      </c>
      <c r="W966">
        <v>3.0151620000000001</v>
      </c>
      <c r="X966">
        <v>70.43974</v>
      </c>
      <c r="Y966">
        <v>75.900199999999998</v>
      </c>
      <c r="Z966">
        <v>67.171112060546903</v>
      </c>
      <c r="AA966">
        <v>2018</v>
      </c>
      <c r="AB966">
        <v>2019</v>
      </c>
      <c r="AC966">
        <v>0</v>
      </c>
      <c r="AD966">
        <v>0</v>
      </c>
      <c r="AE966">
        <v>1</v>
      </c>
      <c r="AF966">
        <v>1</v>
      </c>
      <c r="AJ966">
        <v>0.69316089153289795</v>
      </c>
      <c r="AK966">
        <v>1.0404248237609861</v>
      </c>
      <c r="AM966">
        <f>VLOOKUP(D966,[1]Sheet1!$C$1:$D$191,2,FALSE)</f>
        <v>134</v>
      </c>
    </row>
    <row r="967" spans="1:39" x14ac:dyDescent="0.35">
      <c r="A967">
        <v>2017</v>
      </c>
      <c r="B967" t="s">
        <v>137</v>
      </c>
      <c r="C967">
        <v>134</v>
      </c>
      <c r="D967" t="s">
        <v>318</v>
      </c>
      <c r="E967">
        <v>6287.5309357195201</v>
      </c>
      <c r="G967">
        <v>6287.5309357195201</v>
      </c>
      <c r="H967">
        <v>22438246478.465401</v>
      </c>
      <c r="I967">
        <v>22946570628.757599</v>
      </c>
      <c r="J967">
        <v>5.7508324601439759E-2</v>
      </c>
      <c r="K967">
        <v>26105.5859375</v>
      </c>
      <c r="L967">
        <v>4.7717247107463667E-2</v>
      </c>
      <c r="M967">
        <v>24916.6328125</v>
      </c>
      <c r="N967">
        <v>0.53176649617446703</v>
      </c>
      <c r="O967">
        <v>148.013355558135</v>
      </c>
      <c r="P967">
        <v>191.783932232274</v>
      </c>
      <c r="Q967">
        <v>34.814578178241703</v>
      </c>
      <c r="R967">
        <v>1254275</v>
      </c>
      <c r="S967">
        <v>1.387344072323282E-2</v>
      </c>
      <c r="T967">
        <v>35.973999999999997</v>
      </c>
      <c r="U967">
        <v>7.59</v>
      </c>
      <c r="V967">
        <v>48.518652000000003</v>
      </c>
      <c r="W967">
        <v>3.14784</v>
      </c>
      <c r="X967">
        <v>70.252070000000003</v>
      </c>
      <c r="Y967">
        <v>80.743200000000002</v>
      </c>
      <c r="Z967">
        <v>75.940811157226605</v>
      </c>
      <c r="AA967">
        <v>2018</v>
      </c>
      <c r="AB967">
        <v>2019</v>
      </c>
      <c r="AC967">
        <v>0</v>
      </c>
      <c r="AD967">
        <v>0</v>
      </c>
      <c r="AE967">
        <v>1</v>
      </c>
      <c r="AF967">
        <v>1</v>
      </c>
      <c r="AJ967">
        <v>0.85445451736450195</v>
      </c>
      <c r="AK967">
        <v>1.018480539321899</v>
      </c>
      <c r="AM967">
        <f>VLOOKUP(D967,[1]Sheet1!$C$1:$D$191,2,FALSE)</f>
        <v>134</v>
      </c>
    </row>
    <row r="968" spans="1:39" x14ac:dyDescent="0.35">
      <c r="A968">
        <v>2018</v>
      </c>
      <c r="B968" t="s">
        <v>137</v>
      </c>
      <c r="C968">
        <v>134</v>
      </c>
      <c r="D968" t="s">
        <v>318</v>
      </c>
      <c r="E968">
        <v>254036.140312</v>
      </c>
      <c r="F968">
        <v>63161427.600000001</v>
      </c>
      <c r="G968">
        <v>63415463.740312003</v>
      </c>
      <c r="H968">
        <v>23845498646.532501</v>
      </c>
      <c r="I968">
        <v>25754001367.5448</v>
      </c>
      <c r="J968">
        <v>6.2716673043844082E-2</v>
      </c>
      <c r="K968">
        <v>27406.4765625</v>
      </c>
      <c r="L968">
        <v>4.9831887631807729E-2</v>
      </c>
      <c r="M968">
        <v>26105.5859375</v>
      </c>
      <c r="N968">
        <v>1.43549119531759</v>
      </c>
      <c r="O968">
        <v>147.62356741005399</v>
      </c>
      <c r="P968">
        <v>135.31859918149399</v>
      </c>
      <c r="Q968">
        <v>38.399016351631701</v>
      </c>
      <c r="R968">
        <v>1270737</v>
      </c>
      <c r="S968">
        <v>1.3124713479898747E-2</v>
      </c>
      <c r="T968">
        <v>36.185000000000002</v>
      </c>
      <c r="U968">
        <v>7.59</v>
      </c>
      <c r="V968">
        <v>42.137768999999999</v>
      </c>
      <c r="W968">
        <v>2.5721530000000001</v>
      </c>
      <c r="X968">
        <v>74.656229999999994</v>
      </c>
      <c r="Y968">
        <v>84.433599999999998</v>
      </c>
      <c r="Z968">
        <v>81.337081909179702</v>
      </c>
      <c r="AA968">
        <v>2018</v>
      </c>
      <c r="AB968">
        <v>2019</v>
      </c>
      <c r="AC968">
        <v>1</v>
      </c>
      <c r="AD968">
        <v>0</v>
      </c>
      <c r="AE968">
        <v>1</v>
      </c>
      <c r="AF968">
        <v>1</v>
      </c>
      <c r="AG968">
        <v>0</v>
      </c>
      <c r="AJ968">
        <v>0.72105348110198975</v>
      </c>
      <c r="AK968">
        <v>0.8625752329826355</v>
      </c>
      <c r="AM968">
        <f>VLOOKUP(D968,[1]Sheet1!$C$1:$D$191,2,FALSE)</f>
        <v>134</v>
      </c>
    </row>
    <row r="969" spans="1:39" x14ac:dyDescent="0.35">
      <c r="A969">
        <v>2019</v>
      </c>
      <c r="B969" t="s">
        <v>137</v>
      </c>
      <c r="C969">
        <v>134</v>
      </c>
      <c r="D969" t="s">
        <v>318</v>
      </c>
      <c r="E969">
        <v>184983.24061221001</v>
      </c>
      <c r="G969">
        <v>184983.24061220998</v>
      </c>
      <c r="H969">
        <v>25246562673.765701</v>
      </c>
      <c r="I969">
        <v>26196667099.5303</v>
      </c>
      <c r="J969">
        <v>5.8755912300325751E-2</v>
      </c>
      <c r="K969">
        <v>28625.779296875</v>
      </c>
      <c r="L969">
        <v>4.4489583752015734E-2</v>
      </c>
      <c r="M969">
        <v>27406.4765625</v>
      </c>
      <c r="N969">
        <v>0.250370996758493</v>
      </c>
      <c r="O969">
        <v>150.50616956116201</v>
      </c>
      <c r="P969">
        <v>106.684140672815</v>
      </c>
      <c r="Q969">
        <v>36.445738262372799</v>
      </c>
      <c r="R969">
        <v>1286671</v>
      </c>
      <c r="S969">
        <v>1.2539180019154239E-2</v>
      </c>
      <c r="T969">
        <v>37.31</v>
      </c>
      <c r="U969">
        <v>7.59</v>
      </c>
      <c r="V969">
        <v>40.768205000000002</v>
      </c>
      <c r="W969">
        <v>2.7808000000000002</v>
      </c>
      <c r="X969">
        <v>74.943529999999996</v>
      </c>
      <c r="Y969">
        <v>86.063599999999994</v>
      </c>
      <c r="Z969">
        <v>88.485328674316406</v>
      </c>
      <c r="AA969">
        <v>2018</v>
      </c>
      <c r="AB969">
        <v>2019</v>
      </c>
      <c r="AC969">
        <v>1</v>
      </c>
      <c r="AD969">
        <v>1</v>
      </c>
      <c r="AE969">
        <v>1</v>
      </c>
      <c r="AF969">
        <v>1</v>
      </c>
      <c r="AG969">
        <v>1</v>
      </c>
      <c r="AH969">
        <v>0</v>
      </c>
      <c r="AJ969">
        <v>0.72672724723815918</v>
      </c>
      <c r="AK969">
        <v>0.99972480535507202</v>
      </c>
      <c r="AM969">
        <f>VLOOKUP(D969,[1]Sheet1!$C$1:$D$191,2,FALSE)</f>
        <v>134</v>
      </c>
    </row>
    <row r="970" spans="1:39" x14ac:dyDescent="0.35">
      <c r="A970">
        <v>2020</v>
      </c>
      <c r="B970" t="s">
        <v>137</v>
      </c>
      <c r="C970">
        <v>134</v>
      </c>
      <c r="D970" t="s">
        <v>318</v>
      </c>
      <c r="E970">
        <v>713513.47018386004</v>
      </c>
      <c r="F970">
        <v>1403268.83301856</v>
      </c>
      <c r="G970">
        <v>2116782.30320242</v>
      </c>
      <c r="H970">
        <v>24433463207.697601</v>
      </c>
      <c r="I970">
        <v>25555093854.296799</v>
      </c>
      <c r="J970">
        <v>-3.220634335750628E-2</v>
      </c>
      <c r="K970">
        <v>27391.58984375</v>
      </c>
      <c r="L970">
        <v>-4.3114614988306474E-2</v>
      </c>
      <c r="M970">
        <v>28625.779296875</v>
      </c>
      <c r="N970">
        <v>-0.63842279797895896</v>
      </c>
      <c r="O970">
        <v>160.66871645997</v>
      </c>
      <c r="P970">
        <v>106.473520309929</v>
      </c>
      <c r="Q970">
        <v>41.552764016294503</v>
      </c>
      <c r="R970">
        <v>1302247</v>
      </c>
      <c r="S970">
        <v>1.2105658711512111E-2</v>
      </c>
      <c r="T970">
        <v>37.445999999999998</v>
      </c>
      <c r="U970">
        <v>7.56</v>
      </c>
      <c r="V970">
        <v>40.706304000000003</v>
      </c>
      <c r="W970">
        <v>2.739995</v>
      </c>
      <c r="X970">
        <v>75.472309999999993</v>
      </c>
      <c r="Y970">
        <v>90.801900000000003</v>
      </c>
      <c r="Z970">
        <v>92.937759399414105</v>
      </c>
      <c r="AA970">
        <v>2018</v>
      </c>
      <c r="AB970">
        <v>2019</v>
      </c>
      <c r="AC970">
        <v>1</v>
      </c>
      <c r="AD970">
        <v>1</v>
      </c>
      <c r="AE970">
        <v>1</v>
      </c>
      <c r="AF970">
        <v>1</v>
      </c>
      <c r="AG970">
        <v>2</v>
      </c>
      <c r="AH970">
        <v>1</v>
      </c>
      <c r="AJ970">
        <v>0.54723906517028809</v>
      </c>
      <c r="AK970">
        <v>0.9932476282119751</v>
      </c>
      <c r="AM970">
        <f>VLOOKUP(D970,[1]Sheet1!$C$1:$D$191,2,FALSE)</f>
        <v>134</v>
      </c>
    </row>
    <row r="971" spans="1:39" x14ac:dyDescent="0.35">
      <c r="A971">
        <v>2015</v>
      </c>
      <c r="B971" t="s">
        <v>138</v>
      </c>
      <c r="C971">
        <v>135</v>
      </c>
      <c r="D971" t="s">
        <v>368</v>
      </c>
      <c r="E971">
        <v>100</v>
      </c>
      <c r="G971">
        <v>100</v>
      </c>
      <c r="H971">
        <v>540737037.03703701</v>
      </c>
      <c r="I971">
        <v>540737037.03703701</v>
      </c>
      <c r="J971">
        <v>-2.7315030627182404E-2</v>
      </c>
      <c r="K971">
        <v>7679.8329361885699</v>
      </c>
      <c r="L971">
        <v>-2.7826170292951782E-2</v>
      </c>
      <c r="M971">
        <v>7899.6499406929997</v>
      </c>
      <c r="N971">
        <v>-0.84382698463832995</v>
      </c>
      <c r="O971">
        <v>107.787724573456</v>
      </c>
      <c r="P971">
        <v>51.306241823574098</v>
      </c>
      <c r="R971">
        <v>70410</v>
      </c>
      <c r="S971">
        <v>5.2576982649595722E-4</v>
      </c>
      <c r="V971">
        <v>41.905869000000003</v>
      </c>
      <c r="W971">
        <v>0</v>
      </c>
      <c r="X971">
        <v>0</v>
      </c>
      <c r="Y971">
        <v>65</v>
      </c>
      <c r="AJ971">
        <v>0.70205342769622803</v>
      </c>
      <c r="AK971">
        <v>0.24054260551929471</v>
      </c>
      <c r="AM971">
        <f>VLOOKUP(D971,[1]Sheet1!$C$1:$D$191,2,FALSE)</f>
        <v>135</v>
      </c>
    </row>
    <row r="972" spans="1:39" x14ac:dyDescent="0.35">
      <c r="A972">
        <v>2016</v>
      </c>
      <c r="B972" t="s">
        <v>138</v>
      </c>
      <c r="C972">
        <v>135</v>
      </c>
      <c r="D972" t="s">
        <v>368</v>
      </c>
      <c r="E972">
        <v>8500</v>
      </c>
      <c r="G972">
        <v>8500</v>
      </c>
      <c r="H972">
        <v>555681105.24743998</v>
      </c>
      <c r="I972">
        <v>576229629.62962997</v>
      </c>
      <c r="J972">
        <v>2.7636479817045329E-2</v>
      </c>
      <c r="K972">
        <v>7983.23571599345</v>
      </c>
      <c r="L972">
        <v>3.9506429674426753E-2</v>
      </c>
      <c r="M972">
        <v>7679.8329361885699</v>
      </c>
      <c r="N972">
        <v>0.14181622573231201</v>
      </c>
      <c r="O972">
        <v>101.782339859367</v>
      </c>
      <c r="P972">
        <v>46.9458549189495</v>
      </c>
      <c r="R972">
        <v>69606</v>
      </c>
      <c r="S972">
        <v>-1.1418832552194291E-2</v>
      </c>
      <c r="V972">
        <v>39.951737999999999</v>
      </c>
      <c r="W972">
        <v>0</v>
      </c>
      <c r="X972">
        <v>0</v>
      </c>
      <c r="Y972">
        <v>67.03</v>
      </c>
      <c r="AJ972">
        <v>0.64996302127838135</v>
      </c>
      <c r="AK972">
        <v>0.17861531674861911</v>
      </c>
      <c r="AM972">
        <f>VLOOKUP(D972,[1]Sheet1!$C$1:$D$191,2,FALSE)</f>
        <v>135</v>
      </c>
    </row>
    <row r="973" spans="1:39" x14ac:dyDescent="0.35">
      <c r="A973">
        <v>2020</v>
      </c>
      <c r="B973" t="s">
        <v>138</v>
      </c>
      <c r="C973">
        <v>135</v>
      </c>
      <c r="D973" t="s">
        <v>368</v>
      </c>
      <c r="E973">
        <v>225</v>
      </c>
      <c r="G973">
        <v>225</v>
      </c>
      <c r="H973">
        <v>472749937.54863697</v>
      </c>
      <c r="I973">
        <v>504214814.81481498</v>
      </c>
      <c r="J973">
        <v>-0.16604109523122046</v>
      </c>
      <c r="K973">
        <v>6996.1365863382798</v>
      </c>
      <c r="L973">
        <v>-0.16225222417674609</v>
      </c>
      <c r="M973">
        <v>8351.1252291457095</v>
      </c>
      <c r="N973">
        <v>-0.72711641266820304</v>
      </c>
      <c r="P973">
        <v>53.243546989084599</v>
      </c>
      <c r="R973">
        <v>67573</v>
      </c>
      <c r="S973">
        <v>-4.5226870948733055E-3</v>
      </c>
      <c r="V973">
        <v>34.277096</v>
      </c>
      <c r="W973">
        <v>0</v>
      </c>
      <c r="X973">
        <v>0</v>
      </c>
      <c r="Y973">
        <v>75.656700000000001</v>
      </c>
      <c r="AJ973">
        <v>0.79157686233520508</v>
      </c>
      <c r="AK973">
        <v>0.26851928234100342</v>
      </c>
      <c r="AM973">
        <f>VLOOKUP(D973,[1]Sheet1!$C$1:$D$191,2,FALSE)</f>
        <v>135</v>
      </c>
    </row>
    <row r="974" spans="1:39" x14ac:dyDescent="0.35">
      <c r="A974">
        <v>2015</v>
      </c>
      <c r="B974" t="s">
        <v>139</v>
      </c>
      <c r="C974">
        <v>136</v>
      </c>
      <c r="D974" t="s">
        <v>319</v>
      </c>
      <c r="E974">
        <v>81985</v>
      </c>
      <c r="G974">
        <v>81985</v>
      </c>
      <c r="H974">
        <v>71164826836.528107</v>
      </c>
      <c r="I974">
        <v>71164826836.528107</v>
      </c>
      <c r="J974">
        <v>6.9270187716220843E-2</v>
      </c>
      <c r="K974">
        <v>6819.9322515518097</v>
      </c>
      <c r="L974">
        <v>5.7045262644163215E-2</v>
      </c>
      <c r="M974">
        <v>6451.8828971353396</v>
      </c>
      <c r="N974">
        <v>0.83674634672455706</v>
      </c>
      <c r="O974">
        <v>52.171077717195502</v>
      </c>
      <c r="P974">
        <v>25.966807485732399</v>
      </c>
      <c r="Q974">
        <v>15.2054975505956</v>
      </c>
      <c r="R974">
        <v>10434829</v>
      </c>
      <c r="S974">
        <v>1.1565185999204306E-2</v>
      </c>
      <c r="T974">
        <v>58.183999999999997</v>
      </c>
      <c r="U974">
        <v>6.67</v>
      </c>
      <c r="V974">
        <v>36.582887999999997</v>
      </c>
      <c r="W974">
        <v>7.6223039999999997</v>
      </c>
      <c r="X974">
        <v>73.460070000000002</v>
      </c>
      <c r="Y974">
        <v>54.215800000000002</v>
      </c>
      <c r="Z974">
        <v>51.747114370000901</v>
      </c>
      <c r="AJ974">
        <v>-0.52951925992965698</v>
      </c>
      <c r="AK974">
        <v>1.4078782871365551E-2</v>
      </c>
      <c r="AL974">
        <v>4.1796924999999999E-2</v>
      </c>
      <c r="AM974">
        <f>VLOOKUP(D974,[1]Sheet1!$C$1:$D$191,2,FALSE)</f>
        <v>136</v>
      </c>
    </row>
    <row r="975" spans="1:39" x14ac:dyDescent="0.35">
      <c r="A975">
        <v>2016</v>
      </c>
      <c r="B975" t="s">
        <v>139</v>
      </c>
      <c r="C975">
        <v>136</v>
      </c>
      <c r="D975" t="s">
        <v>319</v>
      </c>
      <c r="E975">
        <v>86012.650540297691</v>
      </c>
      <c r="G975">
        <v>86012.650540297691</v>
      </c>
      <c r="H975">
        <v>75903835172.173203</v>
      </c>
      <c r="I975">
        <v>75704647877.655899</v>
      </c>
      <c r="J975">
        <v>6.6592002626958066E-2</v>
      </c>
      <c r="K975">
        <v>7193.7012492309796</v>
      </c>
      <c r="L975">
        <v>5.4805382794546428E-2</v>
      </c>
      <c r="M975">
        <v>6819.9322515518097</v>
      </c>
      <c r="N975">
        <v>1.61416607245223</v>
      </c>
      <c r="O975">
        <v>51.585971255596803</v>
      </c>
      <c r="P975">
        <v>26.852464781172699</v>
      </c>
      <c r="Q975">
        <v>16.149003737553301</v>
      </c>
      <c r="R975">
        <v>10551430</v>
      </c>
      <c r="S975">
        <v>1.1174212821312165E-2</v>
      </c>
      <c r="T975">
        <v>60.633000000000003</v>
      </c>
      <c r="U975">
        <v>6.67</v>
      </c>
      <c r="V975">
        <v>38.326493999999997</v>
      </c>
      <c r="W975">
        <v>9.1456409999999995</v>
      </c>
      <c r="X975">
        <v>73.532939999999996</v>
      </c>
      <c r="Y975">
        <v>63.870899999999999</v>
      </c>
      <c r="Z975">
        <v>54.498998211862002</v>
      </c>
      <c r="AJ975">
        <v>-0.39412418007850653</v>
      </c>
      <c r="AK975">
        <v>-9.2966780066490173E-3</v>
      </c>
      <c r="AL975">
        <v>2.8639325E-2</v>
      </c>
      <c r="AM975">
        <f>VLOOKUP(D975,[1]Sheet1!$C$1:$D$191,2,FALSE)</f>
        <v>136</v>
      </c>
    </row>
    <row r="976" spans="1:39" x14ac:dyDescent="0.35">
      <c r="A976">
        <v>2017</v>
      </c>
      <c r="B976" t="s">
        <v>139</v>
      </c>
      <c r="C976">
        <v>136</v>
      </c>
      <c r="D976" t="s">
        <v>319</v>
      </c>
      <c r="E976">
        <v>422903</v>
      </c>
      <c r="F976">
        <v>524200</v>
      </c>
      <c r="G976">
        <v>947103</v>
      </c>
      <c r="H976">
        <v>79446042998.421097</v>
      </c>
      <c r="I976">
        <v>79998046305.789993</v>
      </c>
      <c r="J976">
        <v>4.6667046773237207E-2</v>
      </c>
      <c r="K976">
        <v>7447.9434072875201</v>
      </c>
      <c r="L976">
        <v>3.5342329247231324E-2</v>
      </c>
      <c r="M976">
        <v>7193.7012492309796</v>
      </c>
      <c r="N976">
        <v>3.2795569467854602</v>
      </c>
      <c r="O976">
        <v>50.225085424826602</v>
      </c>
      <c r="P976">
        <v>27.262878693965</v>
      </c>
      <c r="Q976">
        <v>16.0194816377183</v>
      </c>
      <c r="R976">
        <v>10666843</v>
      </c>
      <c r="S976">
        <v>1.0938138242873241E-2</v>
      </c>
      <c r="T976">
        <v>60.064999999999998</v>
      </c>
      <c r="U976">
        <v>6.66</v>
      </c>
      <c r="V976">
        <v>39.373773999999997</v>
      </c>
      <c r="W976">
        <v>9.7047570000000007</v>
      </c>
      <c r="X976">
        <v>76.915660000000003</v>
      </c>
      <c r="Y976">
        <v>67.571200000000005</v>
      </c>
      <c r="Z976">
        <v>59.915594098046498</v>
      </c>
      <c r="AJ976">
        <v>-0.42801076173782349</v>
      </c>
      <c r="AK976">
        <v>-3.8681242614984512E-2</v>
      </c>
      <c r="AL976">
        <v>5.3812150000000003E-2</v>
      </c>
      <c r="AM976">
        <f>VLOOKUP(D976,[1]Sheet1!$C$1:$D$191,2,FALSE)</f>
        <v>136</v>
      </c>
    </row>
    <row r="977" spans="1:39" x14ac:dyDescent="0.35">
      <c r="A977">
        <v>2018</v>
      </c>
      <c r="B977" t="s">
        <v>139</v>
      </c>
      <c r="C977">
        <v>136</v>
      </c>
      <c r="D977" t="s">
        <v>319</v>
      </c>
      <c r="E977">
        <v>463980.51</v>
      </c>
      <c r="F977">
        <v>498450</v>
      </c>
      <c r="G977">
        <v>962430.51</v>
      </c>
      <c r="H977">
        <v>84993384865.6436</v>
      </c>
      <c r="I977">
        <v>85555390139.117996</v>
      </c>
      <c r="J977">
        <v>6.982527584580582E-2</v>
      </c>
      <c r="K977">
        <v>7882.8572689861203</v>
      </c>
      <c r="L977">
        <v>5.8393819329112251E-2</v>
      </c>
      <c r="M977">
        <v>7447.9434072875201</v>
      </c>
      <c r="N977">
        <v>3.56443426013508</v>
      </c>
      <c r="O977">
        <v>52.055966387418103</v>
      </c>
      <c r="P977">
        <v>27.211655068133201</v>
      </c>
      <c r="Q977">
        <v>15.704552140793</v>
      </c>
      <c r="R977">
        <v>10782053</v>
      </c>
      <c r="S977">
        <v>1.0800758949953609E-2</v>
      </c>
      <c r="T977">
        <v>61.853999999999999</v>
      </c>
      <c r="U977">
        <v>6.54</v>
      </c>
      <c r="V977">
        <v>36.882790999999997</v>
      </c>
      <c r="W977">
        <v>8.1861510000000006</v>
      </c>
      <c r="X977">
        <v>77.102549999999994</v>
      </c>
      <c r="Y977">
        <v>74.822000000000003</v>
      </c>
      <c r="AJ977">
        <v>-0.36524054408073431</v>
      </c>
      <c r="AK977">
        <v>-2.8536692261695858E-2</v>
      </c>
      <c r="AL977">
        <v>7.7243950000000006E-2</v>
      </c>
      <c r="AM977">
        <f>VLOOKUP(D977,[1]Sheet1!$C$1:$D$191,2,FALSE)</f>
        <v>136</v>
      </c>
    </row>
    <row r="978" spans="1:39" x14ac:dyDescent="0.35">
      <c r="A978">
        <v>2019</v>
      </c>
      <c r="B978" t="s">
        <v>139</v>
      </c>
      <c r="C978">
        <v>136</v>
      </c>
      <c r="D978" t="s">
        <v>319</v>
      </c>
      <c r="E978">
        <v>135125.59681399999</v>
      </c>
      <c r="F978">
        <v>29456036.876790948</v>
      </c>
      <c r="G978">
        <v>29591162.473604955</v>
      </c>
      <c r="H978">
        <v>89287393475.0793</v>
      </c>
      <c r="I978">
        <v>88941372558.2397</v>
      </c>
      <c r="J978">
        <v>5.052168020162523E-2</v>
      </c>
      <c r="K978">
        <v>8195.9832061503002</v>
      </c>
      <c r="L978">
        <v>3.9722390813306412E-2</v>
      </c>
      <c r="M978">
        <v>7882.8572689861203</v>
      </c>
      <c r="N978">
        <v>1.8106037704295901</v>
      </c>
      <c r="O978">
        <v>51.011144920955701</v>
      </c>
      <c r="P978">
        <v>28.1624931377834</v>
      </c>
      <c r="Q978">
        <v>15.8640481695949</v>
      </c>
      <c r="R978">
        <v>10894043</v>
      </c>
      <c r="S978">
        <v>1.0386704647064897E-2</v>
      </c>
      <c r="T978">
        <v>63.042000000000002</v>
      </c>
      <c r="U978">
        <v>6.54</v>
      </c>
      <c r="V978">
        <v>40.729934</v>
      </c>
      <c r="W978">
        <v>7.9199229999999998</v>
      </c>
      <c r="X978">
        <v>77.610339999999994</v>
      </c>
      <c r="Y978">
        <v>79.715500000000006</v>
      </c>
      <c r="AJ978">
        <v>-0.32030096650123602</v>
      </c>
      <c r="AK978">
        <v>-1.8773296847939491E-2</v>
      </c>
      <c r="AL978">
        <v>0.16178719999999999</v>
      </c>
      <c r="AM978">
        <f>VLOOKUP(D978,[1]Sheet1!$C$1:$D$191,2,FALSE)</f>
        <v>136</v>
      </c>
    </row>
    <row r="979" spans="1:39" x14ac:dyDescent="0.35">
      <c r="A979">
        <v>2020</v>
      </c>
      <c r="B979" t="s">
        <v>139</v>
      </c>
      <c r="C979">
        <v>136</v>
      </c>
      <c r="D979" t="s">
        <v>319</v>
      </c>
      <c r="E979">
        <v>661700.48</v>
      </c>
      <c r="F979">
        <v>33685414.507415593</v>
      </c>
      <c r="G979">
        <v>34347114.987415589</v>
      </c>
      <c r="H979">
        <v>83287066903.789703</v>
      </c>
      <c r="I979">
        <v>78844656298.177597</v>
      </c>
      <c r="J979">
        <v>-6.7202393728341137E-2</v>
      </c>
      <c r="K979">
        <v>7565.8427644404401</v>
      </c>
      <c r="L979">
        <v>-7.6884057209512108E-2</v>
      </c>
      <c r="M979">
        <v>8195.9832061503002</v>
      </c>
      <c r="N979">
        <v>3.7810317991551701</v>
      </c>
      <c r="O979">
        <v>44.293656552467503</v>
      </c>
      <c r="P979">
        <v>30.511874998269001</v>
      </c>
      <c r="Q979">
        <v>21.397559824347699</v>
      </c>
      <c r="R979">
        <v>11008300</v>
      </c>
      <c r="S979">
        <v>1.0488025428208793E-2</v>
      </c>
      <c r="T979">
        <v>59.835999999999999</v>
      </c>
      <c r="U979">
        <v>6.32</v>
      </c>
      <c r="V979">
        <v>40.399876999999996</v>
      </c>
      <c r="W979">
        <v>7.1941290000000002</v>
      </c>
      <c r="X979">
        <v>78.158950000000004</v>
      </c>
      <c r="Y979">
        <v>81.6173</v>
      </c>
      <c r="Z979">
        <v>58.726410531452302</v>
      </c>
      <c r="AJ979">
        <v>-0.17101360857486719</v>
      </c>
      <c r="AK979">
        <v>2.3165073245763779E-2</v>
      </c>
      <c r="AL979">
        <v>9.7928950000000001E-2</v>
      </c>
      <c r="AM979">
        <f>VLOOKUP(D979,[1]Sheet1!$C$1:$D$191,2,FALSE)</f>
        <v>136</v>
      </c>
    </row>
    <row r="980" spans="1:39" x14ac:dyDescent="0.35">
      <c r="A980">
        <v>2015</v>
      </c>
      <c r="B980" t="s">
        <v>140</v>
      </c>
      <c r="C980">
        <v>137</v>
      </c>
      <c r="D980" t="s">
        <v>320</v>
      </c>
      <c r="E980">
        <v>7144</v>
      </c>
      <c r="G980">
        <v>7144</v>
      </c>
      <c r="H980">
        <v>20979791685.416</v>
      </c>
      <c r="I980">
        <v>20979791685.416</v>
      </c>
      <c r="J980">
        <v>3.8400799709394681E-2</v>
      </c>
      <c r="K980">
        <v>2271.20265980349</v>
      </c>
      <c r="L980">
        <v>1.8820222203751354E-2</v>
      </c>
      <c r="M980">
        <v>2229.2477223221799</v>
      </c>
      <c r="N980">
        <v>3.15783117980923</v>
      </c>
      <c r="O980">
        <v>107.26440535424</v>
      </c>
      <c r="P980">
        <v>54.593600223815201</v>
      </c>
      <c r="Q980">
        <v>21.9760874717836</v>
      </c>
      <c r="R980">
        <v>9237305</v>
      </c>
      <c r="S980">
        <v>1.9218874025970299E-2</v>
      </c>
      <c r="T980">
        <v>61.493000000000002</v>
      </c>
      <c r="U980">
        <v>5.84</v>
      </c>
      <c r="V980">
        <v>23.245691000000001</v>
      </c>
      <c r="W980">
        <v>6.90097</v>
      </c>
      <c r="X980">
        <v>54.83925</v>
      </c>
      <c r="Y980">
        <v>27.139500000000002</v>
      </c>
      <c r="Z980">
        <v>20.315263911667099</v>
      </c>
      <c r="AJ980">
        <v>-0.94261163473129272</v>
      </c>
      <c r="AK980">
        <v>-0.41771030426025391</v>
      </c>
      <c r="AL980">
        <v>5.3862275000000001E-2</v>
      </c>
      <c r="AM980">
        <f>VLOOKUP(D980,[1]Sheet1!$C$1:$D$191,2,FALSE)</f>
        <v>137</v>
      </c>
    </row>
    <row r="981" spans="1:39" x14ac:dyDescent="0.35">
      <c r="A981">
        <v>2016</v>
      </c>
      <c r="B981" t="s">
        <v>140</v>
      </c>
      <c r="C981">
        <v>137</v>
      </c>
      <c r="D981" t="s">
        <v>320</v>
      </c>
      <c r="E981">
        <v>5235.5930550000003</v>
      </c>
      <c r="G981">
        <v>5235.5930550000003</v>
      </c>
      <c r="H981">
        <v>21796529142.773201</v>
      </c>
      <c r="I981">
        <v>21717604952.183498</v>
      </c>
      <c r="J981">
        <v>3.8929721972642446E-2</v>
      </c>
      <c r="K981">
        <v>2315.72983058198</v>
      </c>
      <c r="L981">
        <v>1.9605106830203615E-2</v>
      </c>
      <c r="M981">
        <v>2271.20265980349</v>
      </c>
      <c r="N981">
        <v>2.7246122329528899</v>
      </c>
      <c r="O981">
        <v>99.815716950592403</v>
      </c>
      <c r="P981">
        <v>57.835402364226702</v>
      </c>
      <c r="R981">
        <v>9412380</v>
      </c>
      <c r="S981">
        <v>1.8953038792158535E-2</v>
      </c>
      <c r="T981">
        <v>62.171999999999997</v>
      </c>
      <c r="U981">
        <v>5.92</v>
      </c>
      <c r="V981">
        <v>23.811091999999999</v>
      </c>
      <c r="W981">
        <v>7.1175990000000002</v>
      </c>
      <c r="X981">
        <v>54.358350000000002</v>
      </c>
      <c r="Y981">
        <v>29.528199999999998</v>
      </c>
      <c r="Z981">
        <v>21.002544222838399</v>
      </c>
      <c r="AJ981">
        <v>-1.136926412582397</v>
      </c>
      <c r="AK981">
        <v>-0.53084629774093628</v>
      </c>
      <c r="AL981">
        <v>6.1404975000000001E-2</v>
      </c>
      <c r="AM981">
        <f>VLOOKUP(D981,[1]Sheet1!$C$1:$D$191,2,FALSE)</f>
        <v>137</v>
      </c>
    </row>
    <row r="982" spans="1:39" x14ac:dyDescent="0.35">
      <c r="A982">
        <v>2017</v>
      </c>
      <c r="B982" t="s">
        <v>140</v>
      </c>
      <c r="C982">
        <v>137</v>
      </c>
      <c r="D982" t="s">
        <v>320</v>
      </c>
      <c r="E982">
        <v>97710</v>
      </c>
      <c r="F982">
        <v>1338100</v>
      </c>
      <c r="G982">
        <v>1435810</v>
      </c>
      <c r="H982">
        <v>22852116284.635601</v>
      </c>
      <c r="I982">
        <v>23136247990.597698</v>
      </c>
      <c r="J982">
        <v>4.8429139105039008E-2</v>
      </c>
      <c r="K982">
        <v>2383.3739843971398</v>
      </c>
      <c r="L982">
        <v>2.9210727832684941E-2</v>
      </c>
      <c r="M982">
        <v>2315.72983058198</v>
      </c>
      <c r="N982">
        <v>3.9343608444204401</v>
      </c>
      <c r="O982">
        <v>101.813111079622</v>
      </c>
      <c r="P982">
        <v>57.790197497975498</v>
      </c>
      <c r="R982">
        <v>9588137</v>
      </c>
      <c r="S982">
        <v>1.8672960505206972E-2</v>
      </c>
      <c r="T982">
        <v>63.536000000000001</v>
      </c>
      <c r="U982">
        <v>5.72</v>
      </c>
      <c r="V982">
        <v>23.717737</v>
      </c>
      <c r="W982">
        <v>8.0818519999999996</v>
      </c>
      <c r="X982">
        <v>49.676940000000002</v>
      </c>
      <c r="Y982">
        <v>31.735800000000001</v>
      </c>
      <c r="Z982">
        <v>24.558559915643599</v>
      </c>
      <c r="AJ982">
        <v>-1.0604138374328611</v>
      </c>
      <c r="AK982">
        <v>-0.45108526945114141</v>
      </c>
      <c r="AL982">
        <v>0.14910670000000001</v>
      </c>
      <c r="AM982">
        <f>VLOOKUP(D982,[1]Sheet1!$C$1:$D$191,2,FALSE)</f>
        <v>137</v>
      </c>
    </row>
    <row r="983" spans="1:39" x14ac:dyDescent="0.35">
      <c r="A983">
        <v>2018</v>
      </c>
      <c r="B983" t="s">
        <v>140</v>
      </c>
      <c r="C983">
        <v>137</v>
      </c>
      <c r="D983" t="s">
        <v>320</v>
      </c>
      <c r="E983">
        <v>14263.046328</v>
      </c>
      <c r="F983">
        <v>9099262</v>
      </c>
      <c r="G983">
        <v>9113525.0463280007</v>
      </c>
      <c r="H983">
        <v>23730778960.5382</v>
      </c>
      <c r="I983">
        <v>24067750760.499001</v>
      </c>
      <c r="J983">
        <v>3.8449947696676111E-2</v>
      </c>
      <c r="K983">
        <v>2430.1350365776202</v>
      </c>
      <c r="L983">
        <v>1.9619687252862394E-2</v>
      </c>
      <c r="M983">
        <v>2383.3739843971398</v>
      </c>
      <c r="N983">
        <v>4.3473493777752799</v>
      </c>
      <c r="O983">
        <v>103.551162215452</v>
      </c>
      <c r="P983">
        <v>62.904052539186601</v>
      </c>
      <c r="R983">
        <v>9765210</v>
      </c>
      <c r="S983">
        <v>1.8467925520880647E-2</v>
      </c>
      <c r="T983">
        <v>65.462999999999994</v>
      </c>
      <c r="U983">
        <v>5.63</v>
      </c>
      <c r="V983">
        <v>24.295732999999998</v>
      </c>
      <c r="W983">
        <v>6.763039</v>
      </c>
      <c r="X983">
        <v>50.717219999999998</v>
      </c>
      <c r="Y983">
        <v>36.040100000000002</v>
      </c>
      <c r="Z983">
        <v>26.383824205370502</v>
      </c>
      <c r="AJ983">
        <v>-1.057194590568542</v>
      </c>
      <c r="AK983">
        <v>-0.44879290461540222</v>
      </c>
      <c r="AL983">
        <v>0.150285575</v>
      </c>
      <c r="AM983">
        <f>VLOOKUP(D983,[1]Sheet1!$C$1:$D$191,2,FALSE)</f>
        <v>137</v>
      </c>
    </row>
    <row r="984" spans="1:39" x14ac:dyDescent="0.35">
      <c r="A984">
        <v>2019</v>
      </c>
      <c r="B984" t="s">
        <v>140</v>
      </c>
      <c r="C984">
        <v>137</v>
      </c>
      <c r="D984" t="s">
        <v>320</v>
      </c>
      <c r="E984">
        <v>11727.31345215</v>
      </c>
      <c r="F984">
        <v>1997943.5831851801</v>
      </c>
      <c r="G984">
        <v>2009670.8966373301</v>
      </c>
      <c r="H984">
        <v>24338200129.367199</v>
      </c>
      <c r="I984">
        <v>24882225741.811901</v>
      </c>
      <c r="J984">
        <v>2.5596343459229735E-2</v>
      </c>
      <c r="K984">
        <v>2447.61649282181</v>
      </c>
      <c r="L984">
        <v>7.1936151617356383E-3</v>
      </c>
      <c r="M984">
        <v>2430.1350365776202</v>
      </c>
      <c r="N984">
        <v>4.3658715981926699</v>
      </c>
      <c r="O984">
        <v>99.459977993758898</v>
      </c>
      <c r="P984">
        <v>64.544274654336903</v>
      </c>
      <c r="R984">
        <v>9943633</v>
      </c>
      <c r="S984">
        <v>1.8271291656810247E-2</v>
      </c>
      <c r="T984">
        <v>62.497999999999998</v>
      </c>
      <c r="U984">
        <v>5.42</v>
      </c>
      <c r="V984">
        <v>25.397651</v>
      </c>
      <c r="W984">
        <v>6.6793440000000004</v>
      </c>
      <c r="X984">
        <v>50.849739999999997</v>
      </c>
      <c r="Y984">
        <v>39.388399999999997</v>
      </c>
      <c r="Z984">
        <v>25.323138260930399</v>
      </c>
      <c r="AJ984">
        <v>-1.041498184204102</v>
      </c>
      <c r="AK984">
        <v>-0.49570545554161072</v>
      </c>
      <c r="AL984">
        <v>0.186901225</v>
      </c>
      <c r="AM984">
        <f>VLOOKUP(D984,[1]Sheet1!$C$1:$D$191,2,FALSE)</f>
        <v>137</v>
      </c>
    </row>
    <row r="985" spans="1:39" x14ac:dyDescent="0.35">
      <c r="A985">
        <v>2020</v>
      </c>
      <c r="B985" t="s">
        <v>140</v>
      </c>
      <c r="C985">
        <v>137</v>
      </c>
      <c r="D985" t="s">
        <v>320</v>
      </c>
      <c r="E985">
        <v>34126.988956250003</v>
      </c>
      <c r="F985">
        <v>1662272.2043999999</v>
      </c>
      <c r="G985">
        <v>1696399.1933562499</v>
      </c>
      <c r="H985">
        <v>22156260473.816898</v>
      </c>
      <c r="I985">
        <v>23352232483.755001</v>
      </c>
      <c r="J985">
        <v>-8.965082232673019E-2</v>
      </c>
      <c r="K985">
        <v>2189.4316866822201</v>
      </c>
      <c r="L985">
        <v>-0.10548417486839763</v>
      </c>
      <c r="M985">
        <v>2447.61649282181</v>
      </c>
      <c r="N985">
        <v>3.4684117795118401</v>
      </c>
      <c r="O985">
        <v>88.000856383629198</v>
      </c>
      <c r="P985">
        <v>71.331333209550905</v>
      </c>
      <c r="Q985">
        <v>24.3924492884403</v>
      </c>
      <c r="R985">
        <v>10119640</v>
      </c>
      <c r="S985">
        <v>1.7700472251942524E-2</v>
      </c>
      <c r="U985">
        <v>5.36</v>
      </c>
      <c r="V985">
        <v>24.872838999999999</v>
      </c>
      <c r="W985">
        <v>5.8090310000000001</v>
      </c>
      <c r="X985">
        <v>61.178649999999998</v>
      </c>
      <c r="Y985">
        <v>45.2483</v>
      </c>
      <c r="AJ985">
        <v>-1.0103334188461299</v>
      </c>
      <c r="AK985">
        <v>-0.4949403703212738</v>
      </c>
      <c r="AL985">
        <v>0.11167965000000001</v>
      </c>
      <c r="AM985">
        <f>VLOOKUP(D985,[1]Sheet1!$C$1:$D$191,2,FALSE)</f>
        <v>137</v>
      </c>
    </row>
    <row r="986" spans="1:39" x14ac:dyDescent="0.35">
      <c r="A986">
        <v>2015</v>
      </c>
      <c r="B986" t="s">
        <v>141</v>
      </c>
      <c r="C986">
        <v>138</v>
      </c>
      <c r="D986" t="s">
        <v>321</v>
      </c>
      <c r="E986">
        <v>16319.006761000001</v>
      </c>
      <c r="G986">
        <v>16319.006761000001</v>
      </c>
      <c r="H986">
        <v>6295848422.7157297</v>
      </c>
      <c r="I986">
        <v>6295848422.7157297</v>
      </c>
      <c r="J986">
        <v>5.9162312834519851E-2</v>
      </c>
      <c r="K986">
        <v>3520.6285069937499</v>
      </c>
      <c r="L986">
        <v>7.3681511199439872E-2</v>
      </c>
      <c r="M986">
        <v>3279.0249904375801</v>
      </c>
      <c r="N986">
        <v>-0.53692939274065898</v>
      </c>
      <c r="O986">
        <v>74.020442254657397</v>
      </c>
      <c r="P986">
        <v>37.2957521848477</v>
      </c>
      <c r="R986">
        <v>1788274</v>
      </c>
      <c r="S986">
        <v>-1.3522816788284124E-2</v>
      </c>
      <c r="T986">
        <v>15.699</v>
      </c>
      <c r="V986">
        <v>39.965369000000003</v>
      </c>
      <c r="W986">
        <v>0</v>
      </c>
      <c r="X986">
        <v>0</v>
      </c>
      <c r="AJ986">
        <v>-0.47875270247459412</v>
      </c>
      <c r="AK986">
        <v>-0.31904742121696472</v>
      </c>
      <c r="AM986">
        <f>VLOOKUP(D986,[1]Sheet1!$C$1:$D$191,2,FALSE)</f>
        <v>138</v>
      </c>
    </row>
    <row r="987" spans="1:39" x14ac:dyDescent="0.35">
      <c r="A987">
        <v>2017</v>
      </c>
      <c r="B987" t="s">
        <v>141</v>
      </c>
      <c r="C987">
        <v>138</v>
      </c>
      <c r="D987" t="s">
        <v>321</v>
      </c>
      <c r="E987">
        <v>16432.135501541041</v>
      </c>
      <c r="F987">
        <v>382251.02430270601</v>
      </c>
      <c r="G987">
        <v>398683.15980424703</v>
      </c>
      <c r="H987">
        <v>6967382841.6084604</v>
      </c>
      <c r="I987">
        <v>7180764703.3571796</v>
      </c>
      <c r="J987">
        <v>4.8256556529805504E-2</v>
      </c>
      <c r="K987">
        <v>3890.1780727108198</v>
      </c>
      <c r="L987">
        <v>4.0383887986433727E-2</v>
      </c>
      <c r="M987">
        <v>3739.1756231826098</v>
      </c>
      <c r="N987">
        <v>1.4882343059231899</v>
      </c>
      <c r="O987">
        <v>80.410137346974494</v>
      </c>
      <c r="P987">
        <v>41.6607425829676</v>
      </c>
      <c r="R987">
        <v>1791019</v>
      </c>
      <c r="S987">
        <v>7.5670804154890281E-3</v>
      </c>
      <c r="T987">
        <v>16.989000000000001</v>
      </c>
      <c r="V987">
        <v>36.010919000000001</v>
      </c>
      <c r="W987">
        <v>0</v>
      </c>
      <c r="X987">
        <v>0</v>
      </c>
      <c r="AJ987">
        <v>-0.43588212132453918</v>
      </c>
      <c r="AK987">
        <v>-0.15615908801555631</v>
      </c>
      <c r="AM987">
        <f>VLOOKUP(D987,[1]Sheet1!$C$1:$D$191,2,FALSE)</f>
        <v>138</v>
      </c>
    </row>
    <row r="988" spans="1:39" x14ac:dyDescent="0.35">
      <c r="A988">
        <v>2018</v>
      </c>
      <c r="B988" t="s">
        <v>141</v>
      </c>
      <c r="C988">
        <v>138</v>
      </c>
      <c r="D988" t="s">
        <v>321</v>
      </c>
      <c r="E988">
        <v>33094.614104</v>
      </c>
      <c r="F988">
        <v>1536210.3539</v>
      </c>
      <c r="G988">
        <v>1569304.9680039999</v>
      </c>
      <c r="H988">
        <v>7204735953.9043503</v>
      </c>
      <c r="I988">
        <v>7878759714.8232203</v>
      </c>
      <c r="J988">
        <v>3.4066322705628087E-2</v>
      </c>
      <c r="K988">
        <v>4009.1214076033898</v>
      </c>
      <c r="L988">
        <v>3.0575293127824827E-2</v>
      </c>
      <c r="M988">
        <v>3890.1780727108198</v>
      </c>
      <c r="N988">
        <v>1.05379773654991</v>
      </c>
      <c r="O988">
        <v>86.315084671096699</v>
      </c>
      <c r="P988">
        <v>44.460620500851</v>
      </c>
      <c r="R988">
        <v>1797086</v>
      </c>
      <c r="S988">
        <v>3.387457084486541E-3</v>
      </c>
      <c r="T988">
        <v>14.28</v>
      </c>
      <c r="V988">
        <v>35.315308999999999</v>
      </c>
      <c r="W988">
        <v>0</v>
      </c>
      <c r="X988">
        <v>0</v>
      </c>
      <c r="AJ988">
        <v>-0.38397881388664251</v>
      </c>
      <c r="AK988">
        <v>-0.34316825866699219</v>
      </c>
      <c r="AM988">
        <f>VLOOKUP(D988,[1]Sheet1!$C$1:$D$191,2,FALSE)</f>
        <v>138</v>
      </c>
    </row>
    <row r="989" spans="1:39" x14ac:dyDescent="0.35">
      <c r="A989">
        <v>2019</v>
      </c>
      <c r="B989" t="s">
        <v>141</v>
      </c>
      <c r="C989">
        <v>138</v>
      </c>
      <c r="D989" t="s">
        <v>321</v>
      </c>
      <c r="E989">
        <v>24066.664292879999</v>
      </c>
      <c r="F989">
        <v>56503454.261170037</v>
      </c>
      <c r="G989">
        <v>56527520.925462916</v>
      </c>
      <c r="H989">
        <v>7547450874.8323097</v>
      </c>
      <c r="I989">
        <v>7899737577.4728603</v>
      </c>
      <c r="J989">
        <v>4.756800570078315E-2</v>
      </c>
      <c r="K989">
        <v>4219.0669385850297</v>
      </c>
      <c r="L989">
        <v>5.2366967631230478E-2</v>
      </c>
      <c r="M989">
        <v>4009.1214076033898</v>
      </c>
      <c r="N989">
        <v>2.6759920263989301</v>
      </c>
      <c r="O989">
        <v>85.753408505348204</v>
      </c>
      <c r="P989">
        <v>46.672182353264603</v>
      </c>
      <c r="R989">
        <v>1788891</v>
      </c>
      <c r="S989">
        <v>-4.5601601704092073E-3</v>
      </c>
      <c r="T989">
        <v>15.372</v>
      </c>
      <c r="V989">
        <v>33.863821000000002</v>
      </c>
      <c r="W989">
        <v>0</v>
      </c>
      <c r="X989">
        <v>0</v>
      </c>
      <c r="AJ989">
        <v>-0.40993982553482061</v>
      </c>
      <c r="AK989">
        <v>-0.38780781626701349</v>
      </c>
      <c r="AM989">
        <f>VLOOKUP(D989,[1]Sheet1!$C$1:$D$191,2,FALSE)</f>
        <v>138</v>
      </c>
    </row>
    <row r="990" spans="1:39" x14ac:dyDescent="0.35">
      <c r="A990">
        <v>2020</v>
      </c>
      <c r="B990" t="s">
        <v>141</v>
      </c>
      <c r="C990">
        <v>138</v>
      </c>
      <c r="D990" t="s">
        <v>321</v>
      </c>
      <c r="E990">
        <v>124653.5811198625</v>
      </c>
      <c r="F990">
        <v>258075</v>
      </c>
      <c r="G990">
        <v>382728.5811198625</v>
      </c>
      <c r="H990">
        <v>7144396206.5298004</v>
      </c>
      <c r="I990">
        <v>7717145217.8124704</v>
      </c>
      <c r="J990">
        <v>-5.3402754782615851E-2</v>
      </c>
      <c r="K990">
        <v>3990.9439011490599</v>
      </c>
      <c r="L990">
        <v>-5.4069546835034704E-2</v>
      </c>
      <c r="M990">
        <v>4219.0669385850297</v>
      </c>
      <c r="N990">
        <v>0.19822792299485401</v>
      </c>
      <c r="O990">
        <v>75.6080171280001</v>
      </c>
      <c r="P990">
        <v>51.624342417938202</v>
      </c>
      <c r="R990">
        <v>1790152</v>
      </c>
      <c r="S990">
        <v>7.0490600042149014E-4</v>
      </c>
      <c r="T990">
        <v>14.031000000000001</v>
      </c>
      <c r="V990">
        <v>34.954003999999998</v>
      </c>
      <c r="W990">
        <v>0</v>
      </c>
      <c r="X990">
        <v>0</v>
      </c>
      <c r="AJ990">
        <v>-0.40613952279090881</v>
      </c>
      <c r="AK990">
        <v>-0.32057532668113708</v>
      </c>
      <c r="AM990">
        <f>VLOOKUP(D990,[1]Sheet1!$C$1:$D$191,2,FALSE)</f>
        <v>138</v>
      </c>
    </row>
    <row r="991" spans="1:39" x14ac:dyDescent="0.35">
      <c r="A991">
        <v>2015</v>
      </c>
      <c r="B991" t="s">
        <v>142</v>
      </c>
      <c r="C991">
        <v>139</v>
      </c>
      <c r="D991" t="s">
        <v>322</v>
      </c>
      <c r="E991">
        <v>183231.10890399889</v>
      </c>
      <c r="F991">
        <v>16677839.529554989</v>
      </c>
      <c r="G991">
        <v>16861070.638458986</v>
      </c>
      <c r="H991">
        <v>26344565876.890202</v>
      </c>
      <c r="I991">
        <v>26344565876.890202</v>
      </c>
      <c r="J991">
        <v>3.7833652895779314E-2</v>
      </c>
      <c r="K991">
        <v>13321.975314061599</v>
      </c>
      <c r="L991">
        <v>4.6364502804699212E-2</v>
      </c>
      <c r="M991">
        <v>12731.6774205863</v>
      </c>
      <c r="N991">
        <v>0.17424224362518601</v>
      </c>
      <c r="O991">
        <v>126.380014406006</v>
      </c>
      <c r="P991">
        <v>49.991023094715601</v>
      </c>
      <c r="Q991">
        <v>45.090556325896202</v>
      </c>
      <c r="R991">
        <v>1977527</v>
      </c>
      <c r="S991">
        <v>-8.1528472019508653E-3</v>
      </c>
      <c r="T991">
        <v>38.201999999999998</v>
      </c>
      <c r="U991">
        <v>7.37</v>
      </c>
      <c r="V991">
        <v>63.012459999999997</v>
      </c>
      <c r="W991">
        <v>1.8560479999999999</v>
      </c>
      <c r="X991">
        <v>88.768810000000002</v>
      </c>
      <c r="Y991">
        <v>79.200599999999994</v>
      </c>
      <c r="Z991">
        <v>74.299880981445298</v>
      </c>
      <c r="AA991">
        <v>2018</v>
      </c>
      <c r="AB991">
        <v>2019</v>
      </c>
      <c r="AC991">
        <v>0</v>
      </c>
      <c r="AD991">
        <v>0</v>
      </c>
      <c r="AE991">
        <v>1</v>
      </c>
      <c r="AF991">
        <v>1</v>
      </c>
      <c r="AJ991">
        <v>0.76667368412017822</v>
      </c>
      <c r="AK991">
        <v>1.0748200416564939</v>
      </c>
      <c r="AL991">
        <v>8.1762000000000001E-2</v>
      </c>
      <c r="AM991">
        <f>VLOOKUP(D991,[1]Sheet1!$C$1:$D$191,2,FALSE)</f>
        <v>139</v>
      </c>
    </row>
    <row r="992" spans="1:39" x14ac:dyDescent="0.35">
      <c r="A992">
        <v>2016</v>
      </c>
      <c r="B992" t="s">
        <v>142</v>
      </c>
      <c r="C992">
        <v>139</v>
      </c>
      <c r="D992" t="s">
        <v>322</v>
      </c>
      <c r="E992">
        <v>71284.030225395036</v>
      </c>
      <c r="F992">
        <v>29987288.581016138</v>
      </c>
      <c r="G992">
        <v>30058572.611241531</v>
      </c>
      <c r="H992">
        <v>27016796437.549198</v>
      </c>
      <c r="I992">
        <v>27117105059.5075</v>
      </c>
      <c r="J992">
        <v>2.5516858535470727E-2</v>
      </c>
      <c r="K992">
        <v>13787.336721658799</v>
      </c>
      <c r="L992">
        <v>3.4931862327203245E-2</v>
      </c>
      <c r="M992">
        <v>13321.975314061599</v>
      </c>
      <c r="N992">
        <v>0.140633334505327</v>
      </c>
      <c r="O992">
        <v>123.33051842965899</v>
      </c>
      <c r="P992">
        <v>48.366870118564798</v>
      </c>
      <c r="Q992">
        <v>44.173769066970898</v>
      </c>
      <c r="R992">
        <v>1959537</v>
      </c>
      <c r="S992">
        <v>-9.0972209229001674E-3</v>
      </c>
      <c r="T992">
        <v>38.121000000000002</v>
      </c>
      <c r="U992">
        <v>7.31</v>
      </c>
      <c r="V992">
        <v>61.283695000000002</v>
      </c>
      <c r="W992">
        <v>2.5926239999999998</v>
      </c>
      <c r="X992">
        <v>54.393070000000002</v>
      </c>
      <c r="Y992">
        <v>79.842100000000002</v>
      </c>
      <c r="Z992">
        <v>80.604812622070298</v>
      </c>
      <c r="AA992">
        <v>2018</v>
      </c>
      <c r="AB992">
        <v>2019</v>
      </c>
      <c r="AC992">
        <v>0</v>
      </c>
      <c r="AD992">
        <v>0</v>
      </c>
      <c r="AE992">
        <v>1</v>
      </c>
      <c r="AF992">
        <v>1</v>
      </c>
      <c r="AJ992">
        <v>0.92781996726989746</v>
      </c>
      <c r="AK992">
        <v>1.068692564964294</v>
      </c>
      <c r="AL992">
        <v>7.2511975000000006E-2</v>
      </c>
      <c r="AM992">
        <f>VLOOKUP(D992,[1]Sheet1!$C$1:$D$191,2,FALSE)</f>
        <v>139</v>
      </c>
    </row>
    <row r="993" spans="1:39" x14ac:dyDescent="0.35">
      <c r="A993">
        <v>2017</v>
      </c>
      <c r="B993" t="s">
        <v>142</v>
      </c>
      <c r="C993">
        <v>139</v>
      </c>
      <c r="D993" t="s">
        <v>322</v>
      </c>
      <c r="E993">
        <v>4198194.6057832586</v>
      </c>
      <c r="F993">
        <v>104038474.46931811</v>
      </c>
      <c r="G993">
        <v>108236669.07510139</v>
      </c>
      <c r="H993">
        <v>27935083671.962101</v>
      </c>
      <c r="I993">
        <v>29391059767.4259</v>
      </c>
      <c r="J993">
        <v>3.3989493777901239E-2</v>
      </c>
      <c r="K993">
        <v>14382.861340035901</v>
      </c>
      <c r="L993">
        <v>4.3193593541643184E-2</v>
      </c>
      <c r="M993">
        <v>13787.336721658799</v>
      </c>
      <c r="N993">
        <v>2.9303631237466501</v>
      </c>
      <c r="O993">
        <v>128.71400332888399</v>
      </c>
      <c r="P993">
        <v>43.686605224066199</v>
      </c>
      <c r="Q993">
        <v>43.723902231293003</v>
      </c>
      <c r="R993">
        <v>1942248</v>
      </c>
      <c r="S993">
        <v>-8.8230025766290708E-3</v>
      </c>
      <c r="T993">
        <v>37.848999999999997</v>
      </c>
      <c r="U993">
        <v>7.25</v>
      </c>
      <c r="V993">
        <v>61.961874000000002</v>
      </c>
      <c r="W993">
        <v>2.2628949999999999</v>
      </c>
      <c r="X993">
        <v>52.921250000000001</v>
      </c>
      <c r="Y993">
        <v>80.114099999999993</v>
      </c>
      <c r="Z993">
        <v>88.057426452636705</v>
      </c>
      <c r="AA993">
        <v>2018</v>
      </c>
      <c r="AB993">
        <v>2019</v>
      </c>
      <c r="AC993">
        <v>0</v>
      </c>
      <c r="AD993">
        <v>0</v>
      </c>
      <c r="AE993">
        <v>1</v>
      </c>
      <c r="AF993">
        <v>1</v>
      </c>
      <c r="AJ993">
        <v>0.90083539485931396</v>
      </c>
      <c r="AK993">
        <v>1.144818782806396</v>
      </c>
      <c r="AL993">
        <v>8.895272500000001E-2</v>
      </c>
      <c r="AM993">
        <f>VLOOKUP(D993,[1]Sheet1!$C$1:$D$191,2,FALSE)</f>
        <v>139</v>
      </c>
    </row>
    <row r="994" spans="1:39" x14ac:dyDescent="0.35">
      <c r="A994">
        <v>2018</v>
      </c>
      <c r="B994" t="s">
        <v>142</v>
      </c>
      <c r="C994">
        <v>139</v>
      </c>
      <c r="D994" t="s">
        <v>322</v>
      </c>
      <c r="E994">
        <v>40588.999400000001</v>
      </c>
      <c r="F994">
        <v>254495220.91949999</v>
      </c>
      <c r="G994">
        <v>254535809.91889995</v>
      </c>
      <c r="H994">
        <v>29139005014.450401</v>
      </c>
      <c r="I994">
        <v>33247935477.357601</v>
      </c>
      <c r="J994">
        <v>4.3097108876629306E-2</v>
      </c>
      <c r="K994">
        <v>15120.0696016293</v>
      </c>
      <c r="L994">
        <v>5.1256022300744747E-2</v>
      </c>
      <c r="M994">
        <v>14382.861340035901</v>
      </c>
      <c r="N994">
        <v>2.5344542418659799</v>
      </c>
      <c r="O994">
        <v>128.23409555982201</v>
      </c>
      <c r="P994">
        <v>37.906553738382897</v>
      </c>
      <c r="Q994">
        <v>43.929496677376498</v>
      </c>
      <c r="R994">
        <v>1927174</v>
      </c>
      <c r="S994">
        <v>-7.7611098067805967E-3</v>
      </c>
      <c r="T994">
        <v>37.627000000000002</v>
      </c>
      <c r="U994">
        <v>7.38</v>
      </c>
      <c r="V994">
        <v>61.337642000000002</v>
      </c>
      <c r="W994">
        <v>2.039164</v>
      </c>
      <c r="X994">
        <v>60.988129999999998</v>
      </c>
      <c r="Y994">
        <v>83.577200000000005</v>
      </c>
      <c r="Z994">
        <v>93.024482727050795</v>
      </c>
      <c r="AA994">
        <v>2018</v>
      </c>
      <c r="AB994">
        <v>2019</v>
      </c>
      <c r="AC994">
        <v>1</v>
      </c>
      <c r="AD994">
        <v>0</v>
      </c>
      <c r="AE994">
        <v>1</v>
      </c>
      <c r="AF994">
        <v>1</v>
      </c>
      <c r="AG994">
        <v>0</v>
      </c>
      <c r="AJ994">
        <v>0.92318034172058105</v>
      </c>
      <c r="AK994">
        <v>1.134443521499634</v>
      </c>
      <c r="AL994">
        <v>7.1435849999999995E-2</v>
      </c>
      <c r="AM994">
        <f>VLOOKUP(D994,[1]Sheet1!$C$1:$D$191,2,FALSE)</f>
        <v>139</v>
      </c>
    </row>
    <row r="995" spans="1:39" x14ac:dyDescent="0.35">
      <c r="A995">
        <v>2019</v>
      </c>
      <c r="B995" t="s">
        <v>142</v>
      </c>
      <c r="C995">
        <v>139</v>
      </c>
      <c r="D995" t="s">
        <v>322</v>
      </c>
      <c r="E995">
        <v>3290220.6716273399</v>
      </c>
      <c r="F995">
        <v>356576759.97228622</v>
      </c>
      <c r="G995">
        <v>359866980.64391351</v>
      </c>
      <c r="H995">
        <v>29335802644.3992</v>
      </c>
      <c r="I995">
        <v>33099503950.847</v>
      </c>
      <c r="J995">
        <v>6.7537525681197657E-3</v>
      </c>
      <c r="K995">
        <v>15328.3861531528</v>
      </c>
      <c r="L995">
        <v>1.3777486282275573E-2</v>
      </c>
      <c r="M995">
        <v>15120.0696016293</v>
      </c>
      <c r="N995">
        <v>2.8114092007561502</v>
      </c>
      <c r="O995">
        <v>125.29163170792999</v>
      </c>
      <c r="P995">
        <v>35.718874565600998</v>
      </c>
      <c r="Q995">
        <v>45.612859617842297</v>
      </c>
      <c r="R995">
        <v>1913822</v>
      </c>
      <c r="S995">
        <v>-6.9282794392203301E-3</v>
      </c>
      <c r="T995">
        <v>39.094999999999999</v>
      </c>
      <c r="U995">
        <v>7.49</v>
      </c>
      <c r="V995">
        <v>58.249845000000001</v>
      </c>
      <c r="W995">
        <v>1.986197</v>
      </c>
      <c r="X995">
        <v>67.08605</v>
      </c>
      <c r="Y995">
        <v>86.135499999999993</v>
      </c>
      <c r="Z995">
        <v>94.864532470703097</v>
      </c>
      <c r="AA995">
        <v>2018</v>
      </c>
      <c r="AB995">
        <v>2019</v>
      </c>
      <c r="AC995">
        <v>1</v>
      </c>
      <c r="AD995">
        <v>1</v>
      </c>
      <c r="AE995">
        <v>1</v>
      </c>
      <c r="AF995">
        <v>1</v>
      </c>
      <c r="AG995">
        <v>1</v>
      </c>
      <c r="AH995">
        <v>0</v>
      </c>
      <c r="AJ995">
        <v>0.9790845513343811</v>
      </c>
      <c r="AK995">
        <v>1.1824791431427</v>
      </c>
      <c r="AL995">
        <v>0.12997107499999999</v>
      </c>
      <c r="AM995">
        <f>VLOOKUP(D995,[1]Sheet1!$C$1:$D$191,2,FALSE)</f>
        <v>139</v>
      </c>
    </row>
    <row r="996" spans="1:39" x14ac:dyDescent="0.35">
      <c r="A996">
        <v>2020</v>
      </c>
      <c r="B996" t="s">
        <v>142</v>
      </c>
      <c r="C996">
        <v>139</v>
      </c>
      <c r="D996" t="s">
        <v>322</v>
      </c>
      <c r="E996">
        <v>10502786.20306645</v>
      </c>
      <c r="F996">
        <v>75810880.063024178</v>
      </c>
      <c r="G996">
        <v>86313666.266090617</v>
      </c>
      <c r="H996">
        <v>28318076426.676899</v>
      </c>
      <c r="I996">
        <v>33379927434.614899</v>
      </c>
      <c r="J996">
        <v>-3.4692291533963061E-2</v>
      </c>
      <c r="K996">
        <v>14900.729473233399</v>
      </c>
      <c r="L996">
        <v>-2.7899654643775959E-2</v>
      </c>
      <c r="M996">
        <v>15328.3861531528</v>
      </c>
      <c r="N996">
        <v>0.21906490484215599</v>
      </c>
      <c r="O996">
        <v>123.88319804656</v>
      </c>
      <c r="P996">
        <v>34.731323273682101</v>
      </c>
      <c r="Q996">
        <v>50.979388681691702</v>
      </c>
      <c r="R996">
        <v>1900449</v>
      </c>
      <c r="S996">
        <v>-6.9875881874071882E-3</v>
      </c>
      <c r="T996">
        <v>38.859000000000002</v>
      </c>
      <c r="U996">
        <v>7.24</v>
      </c>
      <c r="V996">
        <v>57.424764000000003</v>
      </c>
      <c r="W996">
        <v>1.951311</v>
      </c>
      <c r="X996">
        <v>72.911289999999994</v>
      </c>
      <c r="Y996">
        <v>88.897999999999996</v>
      </c>
      <c r="Z996">
        <v>94.510833740234403</v>
      </c>
      <c r="AA996">
        <v>2018</v>
      </c>
      <c r="AB996">
        <v>2019</v>
      </c>
      <c r="AC996">
        <v>1</v>
      </c>
      <c r="AD996">
        <v>1</v>
      </c>
      <c r="AE996">
        <v>1</v>
      </c>
      <c r="AF996">
        <v>1</v>
      </c>
      <c r="AG996">
        <v>2</v>
      </c>
      <c r="AH996">
        <v>1</v>
      </c>
      <c r="AJ996">
        <v>0.92213636636734009</v>
      </c>
      <c r="AK996">
        <v>1.1804043054580691</v>
      </c>
      <c r="AL996">
        <v>0.11292365</v>
      </c>
      <c r="AM996">
        <f>VLOOKUP(D996,[1]Sheet1!$C$1:$D$191,2,FALSE)</f>
        <v>139</v>
      </c>
    </row>
    <row r="997" spans="1:39" x14ac:dyDescent="0.35">
      <c r="A997">
        <v>2015</v>
      </c>
      <c r="B997" t="s">
        <v>143</v>
      </c>
      <c r="C997">
        <v>140</v>
      </c>
      <c r="D997" t="s">
        <v>323</v>
      </c>
      <c r="E997">
        <v>38521.336821999997</v>
      </c>
      <c r="F997">
        <v>3196032.1281499998</v>
      </c>
      <c r="G997">
        <v>3234553.4649720001</v>
      </c>
      <c r="H997">
        <v>41540954817.203903</v>
      </c>
      <c r="I997">
        <v>41540954817.203903</v>
      </c>
      <c r="J997">
        <v>2.8328085774111146E-2</v>
      </c>
      <c r="K997">
        <v>14300.2553666736</v>
      </c>
      <c r="L997">
        <v>3.8047768742286034E-2</v>
      </c>
      <c r="M997">
        <v>13776.1052981213</v>
      </c>
      <c r="N997">
        <v>-0.88409740550059601</v>
      </c>
      <c r="O997">
        <v>138.19557500960099</v>
      </c>
      <c r="P997">
        <v>41.452200938262003</v>
      </c>
      <c r="Q997">
        <v>32.681505486246898</v>
      </c>
      <c r="R997">
        <v>2904910</v>
      </c>
      <c r="S997">
        <v>-9.3634255193841692E-3</v>
      </c>
      <c r="T997">
        <v>16.495999999999999</v>
      </c>
      <c r="U997">
        <v>7.54</v>
      </c>
      <c r="V997">
        <v>49.013542000000001</v>
      </c>
      <c r="W997">
        <v>1.7367630000000001</v>
      </c>
      <c r="X997">
        <v>91.312139999999999</v>
      </c>
      <c r="Y997">
        <v>71.378100000000003</v>
      </c>
      <c r="Z997">
        <v>67.742652893066406</v>
      </c>
      <c r="AA997">
        <v>2018</v>
      </c>
      <c r="AB997">
        <v>2019</v>
      </c>
      <c r="AC997">
        <v>0</v>
      </c>
      <c r="AD997">
        <v>0</v>
      </c>
      <c r="AE997">
        <v>1</v>
      </c>
      <c r="AF997">
        <v>1</v>
      </c>
      <c r="AJ997">
        <v>0.97820919752120972</v>
      </c>
      <c r="AK997">
        <v>1.2638093233108521</v>
      </c>
      <c r="AL997">
        <v>8.1423875000000007E-2</v>
      </c>
      <c r="AM997">
        <f>VLOOKUP(D997,[1]Sheet1!$C$1:$D$191,2,FALSE)</f>
        <v>140</v>
      </c>
    </row>
    <row r="998" spans="1:39" x14ac:dyDescent="0.35">
      <c r="A998">
        <v>2016</v>
      </c>
      <c r="B998" t="s">
        <v>143</v>
      </c>
      <c r="C998">
        <v>140</v>
      </c>
      <c r="D998" t="s">
        <v>323</v>
      </c>
      <c r="E998">
        <v>242260.45192668741</v>
      </c>
      <c r="F998">
        <v>29023108.033022281</v>
      </c>
      <c r="G998">
        <v>29265368.484948967</v>
      </c>
      <c r="H998">
        <v>42650895979.804703</v>
      </c>
      <c r="I998">
        <v>42970749245.0336</v>
      </c>
      <c r="J998">
        <v>2.6719201989577886E-2</v>
      </c>
      <c r="K998">
        <v>14870.104946151399</v>
      </c>
      <c r="L998">
        <v>3.9848909328278136E-2</v>
      </c>
      <c r="M998">
        <v>14300.2553666736</v>
      </c>
      <c r="N998">
        <v>0.905525075460342</v>
      </c>
      <c r="O998">
        <v>134.69044965087701</v>
      </c>
      <c r="P998">
        <v>42.765848402099699</v>
      </c>
      <c r="Q998">
        <v>32.688136245676802</v>
      </c>
      <c r="R998">
        <v>2868231</v>
      </c>
      <c r="S998">
        <v>-1.2626552974102468E-2</v>
      </c>
      <c r="T998">
        <v>15.6</v>
      </c>
      <c r="U998">
        <v>7.47</v>
      </c>
      <c r="V998">
        <v>48.238182999999999</v>
      </c>
      <c r="W998">
        <v>1.813736</v>
      </c>
      <c r="X998">
        <v>87.908090000000001</v>
      </c>
      <c r="Y998">
        <v>74.376599999999996</v>
      </c>
      <c r="Z998">
        <v>67.741851806640597</v>
      </c>
      <c r="AA998">
        <v>2018</v>
      </c>
      <c r="AB998">
        <v>2019</v>
      </c>
      <c r="AC998">
        <v>0</v>
      </c>
      <c r="AD998">
        <v>0</v>
      </c>
      <c r="AE998">
        <v>1</v>
      </c>
      <c r="AF998">
        <v>1</v>
      </c>
      <c r="AJ998">
        <v>0.99674141407012939</v>
      </c>
      <c r="AK998">
        <v>1.1245847940444951</v>
      </c>
      <c r="AL998">
        <v>3.5270975000000003E-2</v>
      </c>
      <c r="AM998">
        <f>VLOOKUP(D998,[1]Sheet1!$C$1:$D$191,2,FALSE)</f>
        <v>140</v>
      </c>
    </row>
    <row r="999" spans="1:39" x14ac:dyDescent="0.35">
      <c r="A999">
        <v>2017</v>
      </c>
      <c r="B999" t="s">
        <v>143</v>
      </c>
      <c r="C999">
        <v>140</v>
      </c>
      <c r="D999" t="s">
        <v>323</v>
      </c>
      <c r="E999">
        <v>1190936.4668315661</v>
      </c>
      <c r="F999">
        <v>68078774.820157588</v>
      </c>
      <c r="G999">
        <v>69269711.286989152</v>
      </c>
      <c r="H999">
        <v>44618059006.344101</v>
      </c>
      <c r="I999">
        <v>47756764508.445999</v>
      </c>
      <c r="J999">
        <v>4.6122431460076579E-2</v>
      </c>
      <c r="K999">
        <v>15775.000594450001</v>
      </c>
      <c r="L999">
        <v>6.0853346467659032E-2</v>
      </c>
      <c r="M999">
        <v>14870.104946151399</v>
      </c>
      <c r="N999">
        <v>3.7228886230370701</v>
      </c>
      <c r="O999">
        <v>144.91839310132499</v>
      </c>
      <c r="P999">
        <v>40.979737431155698</v>
      </c>
      <c r="Q999">
        <v>31.068646950265698</v>
      </c>
      <c r="R999">
        <v>2828403</v>
      </c>
      <c r="S999">
        <v>-1.3885910862827994E-2</v>
      </c>
      <c r="T999">
        <v>16.488</v>
      </c>
      <c r="U999">
        <v>7.41</v>
      </c>
      <c r="V999">
        <v>46.686154000000002</v>
      </c>
      <c r="W999">
        <v>1.9377610000000001</v>
      </c>
      <c r="X999">
        <v>88.823880000000003</v>
      </c>
      <c r="Y999">
        <v>77.615300000000005</v>
      </c>
      <c r="Z999">
        <v>68.386337280273395</v>
      </c>
      <c r="AA999">
        <v>2018</v>
      </c>
      <c r="AB999">
        <v>2019</v>
      </c>
      <c r="AC999">
        <v>0</v>
      </c>
      <c r="AD999">
        <v>0</v>
      </c>
      <c r="AE999">
        <v>1</v>
      </c>
      <c r="AF999">
        <v>1</v>
      </c>
      <c r="AJ999">
        <v>0.96151429414749146</v>
      </c>
      <c r="AK999">
        <v>1.1462347507476811</v>
      </c>
      <c r="AL999">
        <v>6.9599450000000007E-2</v>
      </c>
      <c r="AM999">
        <f>VLOOKUP(D999,[1]Sheet1!$C$1:$D$191,2,FALSE)</f>
        <v>140</v>
      </c>
    </row>
    <row r="1000" spans="1:39" x14ac:dyDescent="0.35">
      <c r="A1000">
        <v>2018</v>
      </c>
      <c r="B1000" t="s">
        <v>143</v>
      </c>
      <c r="C1000">
        <v>140</v>
      </c>
      <c r="D1000" t="s">
        <v>323</v>
      </c>
      <c r="E1000">
        <v>3075477.396888</v>
      </c>
      <c r="F1000">
        <v>122821553.280019</v>
      </c>
      <c r="G1000">
        <v>125897030.67690699</v>
      </c>
      <c r="H1000">
        <v>46812540143.427696</v>
      </c>
      <c r="I1000">
        <v>54261795148.537201</v>
      </c>
      <c r="J1000">
        <v>4.9183697945524005E-2</v>
      </c>
      <c r="K1000">
        <v>16709.556177944702</v>
      </c>
      <c r="L1000">
        <v>5.9242823979575539E-2</v>
      </c>
      <c r="M1000">
        <v>15775.000594450001</v>
      </c>
      <c r="N1000">
        <v>2.6979277920839402</v>
      </c>
      <c r="O1000">
        <v>147.202132525221</v>
      </c>
      <c r="P1000">
        <v>39.993553498832</v>
      </c>
      <c r="Q1000">
        <v>31.766882155804002</v>
      </c>
      <c r="R1000">
        <v>2801543</v>
      </c>
      <c r="S1000">
        <v>-9.4965250708615428E-3</v>
      </c>
      <c r="T1000">
        <v>17.773</v>
      </c>
      <c r="U1000">
        <v>7.5</v>
      </c>
      <c r="V1000">
        <v>46.926011000000003</v>
      </c>
      <c r="W1000">
        <v>1.98319</v>
      </c>
      <c r="X1000">
        <v>88.744900000000001</v>
      </c>
      <c r="Y1000">
        <v>79.7226</v>
      </c>
      <c r="Z1000">
        <v>69.718803405761705</v>
      </c>
      <c r="AA1000">
        <v>2018</v>
      </c>
      <c r="AB1000">
        <v>2019</v>
      </c>
      <c r="AC1000">
        <v>1</v>
      </c>
      <c r="AD1000">
        <v>0</v>
      </c>
      <c r="AE1000">
        <v>1</v>
      </c>
      <c r="AF1000">
        <v>1</v>
      </c>
      <c r="AG1000">
        <v>0</v>
      </c>
      <c r="AI1000">
        <v>1</v>
      </c>
      <c r="AJ1000">
        <v>0.92309820652008057</v>
      </c>
      <c r="AK1000">
        <v>1.093714833259583</v>
      </c>
      <c r="AL1000">
        <v>4.8714274999999987E-2</v>
      </c>
      <c r="AM1000">
        <f>VLOOKUP(D1000,[1]Sheet1!$C$1:$D$191,2,FALSE)</f>
        <v>140</v>
      </c>
    </row>
    <row r="1001" spans="1:39" x14ac:dyDescent="0.35">
      <c r="A1001">
        <v>2019</v>
      </c>
      <c r="B1001" t="s">
        <v>143</v>
      </c>
      <c r="C1001">
        <v>140</v>
      </c>
      <c r="D1001" t="s">
        <v>323</v>
      </c>
      <c r="E1001">
        <v>1763070.72045407</v>
      </c>
      <c r="F1001">
        <v>179664334.18248701</v>
      </c>
      <c r="G1001">
        <v>181427404.90294105</v>
      </c>
      <c r="H1001">
        <v>49002127219.150803</v>
      </c>
      <c r="I1001">
        <v>55122066225.795998</v>
      </c>
      <c r="J1001">
        <v>4.677351557968204E-2</v>
      </c>
      <c r="K1001">
        <v>17537.481955663101</v>
      </c>
      <c r="L1001">
        <v>4.9548041186826743E-2</v>
      </c>
      <c r="M1001">
        <v>16709.556177944702</v>
      </c>
      <c r="N1001">
        <v>2.3345093798802701</v>
      </c>
      <c r="O1001">
        <v>148.37499601181801</v>
      </c>
      <c r="P1001">
        <v>38.7394336544601</v>
      </c>
      <c r="Q1001">
        <v>32.504984389176002</v>
      </c>
      <c r="R1001">
        <v>2794137</v>
      </c>
      <c r="S1001">
        <v>-2.6435432188618917E-3</v>
      </c>
      <c r="T1001">
        <v>18.640999999999998</v>
      </c>
      <c r="U1001">
        <v>7.5</v>
      </c>
      <c r="V1001">
        <v>38.503191999999999</v>
      </c>
      <c r="W1001">
        <v>1.7753680000000001</v>
      </c>
      <c r="X1001">
        <v>98.372219999999999</v>
      </c>
      <c r="Y1001">
        <v>81.581900000000005</v>
      </c>
      <c r="Z1001">
        <v>70.184867858886705</v>
      </c>
      <c r="AA1001">
        <v>2018</v>
      </c>
      <c r="AB1001">
        <v>2019</v>
      </c>
      <c r="AC1001">
        <v>1</v>
      </c>
      <c r="AD1001">
        <v>1</v>
      </c>
      <c r="AE1001">
        <v>1</v>
      </c>
      <c r="AF1001">
        <v>1</v>
      </c>
      <c r="AG1001">
        <v>1</v>
      </c>
      <c r="AH1001">
        <v>0</v>
      </c>
      <c r="AI1001">
        <v>1</v>
      </c>
      <c r="AJ1001">
        <v>0.98598980903625488</v>
      </c>
      <c r="AK1001">
        <v>1.146624088287354</v>
      </c>
      <c r="AL1001">
        <v>0.15034842500000001</v>
      </c>
      <c r="AM1001">
        <f>VLOOKUP(D1001,[1]Sheet1!$C$1:$D$191,2,FALSE)</f>
        <v>140</v>
      </c>
    </row>
    <row r="1002" spans="1:39" x14ac:dyDescent="0.35">
      <c r="A1002">
        <v>2020</v>
      </c>
      <c r="B1002" t="s">
        <v>143</v>
      </c>
      <c r="C1002">
        <v>140</v>
      </c>
      <c r="D1002" t="s">
        <v>323</v>
      </c>
      <c r="E1002">
        <v>6178964.2093023099</v>
      </c>
      <c r="F1002">
        <v>189492477.0724996</v>
      </c>
      <c r="G1002">
        <v>195671441.28180194</v>
      </c>
      <c r="H1002">
        <v>49023106998.399597</v>
      </c>
      <c r="I1002">
        <v>57412038533.271797</v>
      </c>
      <c r="J1002">
        <v>4.2814017348608751E-4</v>
      </c>
      <c r="K1002">
        <v>17540.294859502101</v>
      </c>
      <c r="L1002">
        <v>1.6039382655452694E-4</v>
      </c>
      <c r="M1002">
        <v>17537.481955663101</v>
      </c>
      <c r="N1002">
        <v>1.19989444983569</v>
      </c>
      <c r="O1002">
        <v>135.79656556351901</v>
      </c>
      <c r="P1002">
        <v>37.034010829926501</v>
      </c>
      <c r="Q1002">
        <v>39.046476579434902</v>
      </c>
      <c r="R1002">
        <v>2794885</v>
      </c>
      <c r="S1002">
        <v>2.6770340895954634E-4</v>
      </c>
      <c r="T1002">
        <v>19.427</v>
      </c>
      <c r="U1002">
        <v>7.13</v>
      </c>
      <c r="V1002">
        <v>37.844554000000002</v>
      </c>
      <c r="W1002">
        <v>1.8479350000000001</v>
      </c>
      <c r="X1002">
        <v>98.588419999999999</v>
      </c>
      <c r="Y1002">
        <v>83.055499999999995</v>
      </c>
      <c r="Z1002">
        <v>69.145477294921903</v>
      </c>
      <c r="AA1002">
        <v>2018</v>
      </c>
      <c r="AB1002">
        <v>2019</v>
      </c>
      <c r="AC1002">
        <v>1</v>
      </c>
      <c r="AD1002">
        <v>1</v>
      </c>
      <c r="AE1002">
        <v>1</v>
      </c>
      <c r="AF1002">
        <v>1</v>
      </c>
      <c r="AG1002">
        <v>2</v>
      </c>
      <c r="AH1002">
        <v>1</v>
      </c>
      <c r="AI1002">
        <v>1</v>
      </c>
      <c r="AJ1002">
        <v>0.9484824538230896</v>
      </c>
      <c r="AK1002">
        <v>1.080174565315247</v>
      </c>
      <c r="AL1002">
        <v>0.1175899</v>
      </c>
      <c r="AM1002">
        <f>VLOOKUP(D1002,[1]Sheet1!$C$1:$D$191,2,FALSE)</f>
        <v>140</v>
      </c>
    </row>
    <row r="1003" spans="1:39" x14ac:dyDescent="0.35">
      <c r="A1003">
        <v>2015</v>
      </c>
      <c r="B1003" t="s">
        <v>144</v>
      </c>
      <c r="C1003">
        <v>141</v>
      </c>
      <c r="D1003" t="s">
        <v>324</v>
      </c>
      <c r="E1003">
        <v>16235.752185999891</v>
      </c>
      <c r="G1003">
        <v>16235.752185999891</v>
      </c>
      <c r="H1003">
        <v>11340795041.806499</v>
      </c>
      <c r="I1003">
        <v>11340795041.806499</v>
      </c>
      <c r="J1003">
        <v>9.6210975622837619E-2</v>
      </c>
      <c r="K1003">
        <v>25481.897755562699</v>
      </c>
      <c r="L1003">
        <v>7.0360719160877883E-2</v>
      </c>
      <c r="M1003">
        <v>23806.831939366701</v>
      </c>
      <c r="N1003">
        <v>1.10054826378929</v>
      </c>
      <c r="O1003">
        <v>207.196398081474</v>
      </c>
      <c r="P1003">
        <v>83.413905949197797</v>
      </c>
      <c r="Q1003">
        <v>35.204525311467101</v>
      </c>
      <c r="R1003">
        <v>445053</v>
      </c>
      <c r="S1003">
        <v>2.415097639440535E-2</v>
      </c>
      <c r="T1003">
        <v>46.639000000000003</v>
      </c>
      <c r="U1003">
        <v>8.39</v>
      </c>
      <c r="V1003">
        <v>55.274380999999998</v>
      </c>
      <c r="W1003">
        <v>1.9409259999999999</v>
      </c>
      <c r="X1003">
        <v>90.658159999999995</v>
      </c>
      <c r="Y1003">
        <v>75.959999999999994</v>
      </c>
      <c r="Z1003">
        <v>46.946819305419901</v>
      </c>
      <c r="AA1003">
        <v>2018</v>
      </c>
      <c r="AB1003">
        <v>2019</v>
      </c>
      <c r="AC1003">
        <v>0</v>
      </c>
      <c r="AD1003">
        <v>0</v>
      </c>
      <c r="AE1003">
        <v>1</v>
      </c>
      <c r="AF1003">
        <v>1</v>
      </c>
      <c r="AJ1003">
        <v>1.106753349304199</v>
      </c>
      <c r="AK1003">
        <v>1.153905510902405</v>
      </c>
      <c r="AM1003">
        <f>VLOOKUP(D1003,[1]Sheet1!$C$1:$D$191,2,FALSE)</f>
        <v>141</v>
      </c>
    </row>
    <row r="1004" spans="1:39" x14ac:dyDescent="0.35">
      <c r="A1004">
        <v>2016</v>
      </c>
      <c r="B1004" t="s">
        <v>144</v>
      </c>
      <c r="C1004">
        <v>141</v>
      </c>
      <c r="D1004" t="s">
        <v>324</v>
      </c>
      <c r="E1004">
        <v>228912.31366580509</v>
      </c>
      <c r="G1004">
        <v>228912.31366580509</v>
      </c>
      <c r="H1004">
        <v>11803240829.4114</v>
      </c>
      <c r="I1004">
        <v>12025782834.3596</v>
      </c>
      <c r="J1004">
        <v>4.0777192948126532E-2</v>
      </c>
      <c r="K1004">
        <v>25920.907662161899</v>
      </c>
      <c r="L1004">
        <v>1.7228305003435782E-2</v>
      </c>
      <c r="M1004">
        <v>25481.897755562699</v>
      </c>
      <c r="N1004">
        <v>0.64270277152730404</v>
      </c>
      <c r="O1004">
        <v>213.35939281074101</v>
      </c>
      <c r="P1004">
        <v>79.320568291310707</v>
      </c>
      <c r="Q1004">
        <v>34.304876036153097</v>
      </c>
      <c r="R1004">
        <v>455356</v>
      </c>
      <c r="S1004">
        <v>2.3150051791584372E-2</v>
      </c>
      <c r="T1004">
        <v>47.401000000000003</v>
      </c>
      <c r="U1004">
        <v>8.39</v>
      </c>
      <c r="V1004">
        <v>55.035069</v>
      </c>
      <c r="W1004">
        <v>1.9972490000000001</v>
      </c>
      <c r="X1004">
        <v>91.374660000000006</v>
      </c>
      <c r="Y1004">
        <v>78.075100000000006</v>
      </c>
      <c r="Z1004">
        <v>48.1260795593262</v>
      </c>
      <c r="AA1004">
        <v>2018</v>
      </c>
      <c r="AB1004">
        <v>2019</v>
      </c>
      <c r="AC1004">
        <v>0</v>
      </c>
      <c r="AD1004">
        <v>0</v>
      </c>
      <c r="AE1004">
        <v>1</v>
      </c>
      <c r="AF1004">
        <v>1</v>
      </c>
      <c r="AJ1004">
        <v>0.96890902519226074</v>
      </c>
      <c r="AK1004">
        <v>1.1438447237014771</v>
      </c>
      <c r="AM1004">
        <f>VLOOKUP(D1004,[1]Sheet1!$C$1:$D$191,2,FALSE)</f>
        <v>141</v>
      </c>
    </row>
    <row r="1005" spans="1:39" x14ac:dyDescent="0.35">
      <c r="A1005">
        <v>2017</v>
      </c>
      <c r="B1005" t="s">
        <v>144</v>
      </c>
      <c r="C1005">
        <v>141</v>
      </c>
      <c r="D1005" t="s">
        <v>324</v>
      </c>
      <c r="E1005">
        <v>411204.95701822598</v>
      </c>
      <c r="G1005">
        <v>411204.95701822598</v>
      </c>
      <c r="H1005">
        <v>13334371316.2031</v>
      </c>
      <c r="I1005">
        <v>14161366723.6779</v>
      </c>
      <c r="J1005">
        <v>0.12972119343497748</v>
      </c>
      <c r="K1005">
        <v>28492.307283141901</v>
      </c>
      <c r="L1005">
        <v>9.9201758460549919E-2</v>
      </c>
      <c r="M1005">
        <v>25920.907662161899</v>
      </c>
      <c r="N1005">
        <v>1.3643544815070801</v>
      </c>
      <c r="O1005">
        <v>213.047878620359</v>
      </c>
      <c r="P1005">
        <v>70.884761190478301</v>
      </c>
      <c r="Q1005">
        <v>31.908800074940199</v>
      </c>
      <c r="R1005">
        <v>467999</v>
      </c>
      <c r="S1005">
        <v>2.7765089292773128E-2</v>
      </c>
      <c r="T1005">
        <v>46.686999999999998</v>
      </c>
      <c r="U1005">
        <v>8.15</v>
      </c>
      <c r="V1005">
        <v>54.807625000000002</v>
      </c>
      <c r="W1005">
        <v>2.3367939999999998</v>
      </c>
      <c r="X1005">
        <v>91.065240000000003</v>
      </c>
      <c r="Y1005">
        <v>81.011899999999997</v>
      </c>
      <c r="Z1005">
        <v>52.844631195068402</v>
      </c>
      <c r="AA1005">
        <v>2018</v>
      </c>
      <c r="AB1005">
        <v>2019</v>
      </c>
      <c r="AC1005">
        <v>0</v>
      </c>
      <c r="AD1005">
        <v>0</v>
      </c>
      <c r="AE1005">
        <v>1</v>
      </c>
      <c r="AF1005">
        <v>1</v>
      </c>
      <c r="AJ1005">
        <v>1.1129608154296879</v>
      </c>
      <c r="AK1005">
        <v>1.2715688943862919</v>
      </c>
      <c r="AM1005">
        <f>VLOOKUP(D1005,[1]Sheet1!$C$1:$D$191,2,FALSE)</f>
        <v>141</v>
      </c>
    </row>
    <row r="1006" spans="1:39" x14ac:dyDescent="0.35">
      <c r="A1006">
        <v>2018</v>
      </c>
      <c r="B1006" t="s">
        <v>144</v>
      </c>
      <c r="C1006">
        <v>141</v>
      </c>
      <c r="D1006" t="s">
        <v>324</v>
      </c>
      <c r="E1006">
        <v>411836.02377299999</v>
      </c>
      <c r="G1006">
        <v>411836.02377299999</v>
      </c>
      <c r="H1006">
        <v>14292992142.7162</v>
      </c>
      <c r="I1006">
        <v>16153779511.155899</v>
      </c>
      <c r="J1006">
        <v>7.1890965369191664E-2</v>
      </c>
      <c r="K1006">
        <v>29492.586391094599</v>
      </c>
      <c r="L1006">
        <v>3.5106988634245669E-2</v>
      </c>
      <c r="M1006">
        <v>28492.307283141901</v>
      </c>
      <c r="N1006">
        <v>1.1578236245151701</v>
      </c>
      <c r="O1006">
        <v>228.09816592878499</v>
      </c>
      <c r="P1006">
        <v>69.089386492621401</v>
      </c>
      <c r="Q1006">
        <v>32.439029437228903</v>
      </c>
      <c r="R1006">
        <v>484630</v>
      </c>
      <c r="S1006">
        <v>3.5536400718804956E-2</v>
      </c>
      <c r="T1006">
        <v>49.003999999999998</v>
      </c>
      <c r="U1006">
        <v>8.2100000000000009</v>
      </c>
      <c r="V1006">
        <v>52.474485000000001</v>
      </c>
      <c r="W1006">
        <v>2.0136940000000001</v>
      </c>
      <c r="X1006">
        <v>90.175370000000001</v>
      </c>
      <c r="Y1006">
        <v>81.658000000000001</v>
      </c>
      <c r="Z1006">
        <v>56.811111450195298</v>
      </c>
      <c r="AA1006">
        <v>2018</v>
      </c>
      <c r="AB1006">
        <v>2019</v>
      </c>
      <c r="AC1006">
        <v>1</v>
      </c>
      <c r="AD1006">
        <v>0</v>
      </c>
      <c r="AE1006">
        <v>1</v>
      </c>
      <c r="AF1006">
        <v>1</v>
      </c>
      <c r="AG1006">
        <v>0</v>
      </c>
      <c r="AJ1006">
        <v>1.0199723243713379</v>
      </c>
      <c r="AK1006">
        <v>1.32744300365448</v>
      </c>
      <c r="AM1006">
        <f>VLOOKUP(D1006,[1]Sheet1!$C$1:$D$191,2,FALSE)</f>
        <v>141</v>
      </c>
    </row>
    <row r="1007" spans="1:39" x14ac:dyDescent="0.35">
      <c r="A1007">
        <v>2019</v>
      </c>
      <c r="B1007" t="s">
        <v>144</v>
      </c>
      <c r="C1007">
        <v>141</v>
      </c>
      <c r="D1007" t="s">
        <v>324</v>
      </c>
      <c r="E1007">
        <v>728301.81445526995</v>
      </c>
      <c r="F1007">
        <v>123154.6833</v>
      </c>
      <c r="G1007">
        <v>851456.49775526999</v>
      </c>
      <c r="H1007">
        <v>14876818854.4189</v>
      </c>
      <c r="I1007">
        <v>16337793530.778799</v>
      </c>
      <c r="J1007">
        <v>4.0847060284729918E-2</v>
      </c>
      <c r="K1007">
        <v>29513.867052900099</v>
      </c>
      <c r="L1007">
        <v>7.215597005736299E-4</v>
      </c>
      <c r="M1007">
        <v>29492.586391094599</v>
      </c>
      <c r="N1007">
        <v>1.6420600176894</v>
      </c>
      <c r="O1007">
        <v>233.07064381224799</v>
      </c>
      <c r="P1007">
        <v>69.5293240365054</v>
      </c>
      <c r="Q1007">
        <v>32.596602843583099</v>
      </c>
      <c r="R1007">
        <v>504062</v>
      </c>
      <c r="S1007">
        <v>4.0096568516187606E-2</v>
      </c>
      <c r="T1007">
        <v>50.84</v>
      </c>
      <c r="U1007">
        <v>7.95</v>
      </c>
      <c r="V1007">
        <v>48.861142000000001</v>
      </c>
      <c r="W1007">
        <v>2.0469599999999999</v>
      </c>
      <c r="X1007">
        <v>89.357669999999999</v>
      </c>
      <c r="Y1007">
        <v>85.778599999999997</v>
      </c>
      <c r="Z1007">
        <v>58.536869049072301</v>
      </c>
      <c r="AA1007">
        <v>2018</v>
      </c>
      <c r="AB1007">
        <v>2019</v>
      </c>
      <c r="AC1007">
        <v>1</v>
      </c>
      <c r="AD1007">
        <v>1</v>
      </c>
      <c r="AE1007">
        <v>1</v>
      </c>
      <c r="AF1007">
        <v>1</v>
      </c>
      <c r="AG1007">
        <v>1</v>
      </c>
      <c r="AH1007">
        <v>0</v>
      </c>
      <c r="AI1007">
        <v>1</v>
      </c>
      <c r="AJ1007">
        <v>0.92163079977035522</v>
      </c>
      <c r="AK1007">
        <v>0.93803185224533081</v>
      </c>
      <c r="AM1007">
        <f>VLOOKUP(D1007,[1]Sheet1!$C$1:$D$191,2,FALSE)</f>
        <v>141</v>
      </c>
    </row>
    <row r="1008" spans="1:39" x14ac:dyDescent="0.35">
      <c r="A1008">
        <v>2020</v>
      </c>
      <c r="B1008" t="s">
        <v>144</v>
      </c>
      <c r="C1008">
        <v>141</v>
      </c>
      <c r="D1008" t="s">
        <v>324</v>
      </c>
      <c r="E1008">
        <v>345294.18420661998</v>
      </c>
      <c r="G1008">
        <v>345294.18420662003</v>
      </c>
      <c r="H1008">
        <v>14359895887.8999</v>
      </c>
      <c r="I1008">
        <v>16385919535.6742</v>
      </c>
      <c r="J1008">
        <v>-3.4746875093223051E-2</v>
      </c>
      <c r="K1008">
        <v>27865.329317604799</v>
      </c>
      <c r="L1008">
        <v>-5.5856378709726248E-2</v>
      </c>
      <c r="M1008">
        <v>29513.867052900099</v>
      </c>
      <c r="N1008">
        <v>0.63854495677671197</v>
      </c>
      <c r="O1008">
        <v>256.88815582105599</v>
      </c>
      <c r="P1008">
        <v>75.213940544911594</v>
      </c>
      <c r="Q1008">
        <v>39.850213360976298</v>
      </c>
      <c r="R1008">
        <v>515332</v>
      </c>
      <c r="S1008">
        <v>2.2358360677853122E-2</v>
      </c>
      <c r="T1008">
        <v>50.999000000000002</v>
      </c>
      <c r="U1008">
        <v>7.68</v>
      </c>
      <c r="V1008">
        <v>46.004727000000003</v>
      </c>
      <c r="W1008">
        <v>2.0469940000000002</v>
      </c>
      <c r="X1008">
        <v>89.066370000000006</v>
      </c>
      <c r="Y1008">
        <v>86.858800000000002</v>
      </c>
      <c r="Z1008">
        <v>62.875251770019503</v>
      </c>
      <c r="AA1008">
        <v>2018</v>
      </c>
      <c r="AB1008">
        <v>2019</v>
      </c>
      <c r="AC1008">
        <v>1</v>
      </c>
      <c r="AD1008">
        <v>1</v>
      </c>
      <c r="AE1008">
        <v>1</v>
      </c>
      <c r="AF1008">
        <v>1</v>
      </c>
      <c r="AG1008">
        <v>2</v>
      </c>
      <c r="AH1008">
        <v>1</v>
      </c>
      <c r="AI1008">
        <v>1</v>
      </c>
      <c r="AJ1008">
        <v>0.88372611999511719</v>
      </c>
      <c r="AK1008">
        <v>1.2101289033889771</v>
      </c>
      <c r="AM1008">
        <f>VLOOKUP(D1008,[1]Sheet1!$C$1:$D$191,2,FALSE)</f>
        <v>141</v>
      </c>
    </row>
    <row r="1009" spans="1:39" x14ac:dyDescent="0.35">
      <c r="A1009">
        <v>2015</v>
      </c>
      <c r="B1009" t="s">
        <v>145</v>
      </c>
      <c r="C1009">
        <v>142</v>
      </c>
      <c r="D1009" t="s">
        <v>325</v>
      </c>
      <c r="E1009">
        <v>23303.51057299989</v>
      </c>
      <c r="G1009">
        <v>23303.51057299989</v>
      </c>
      <c r="H1009">
        <v>7797667196.7308702</v>
      </c>
      <c r="I1009">
        <v>7797667196.7308702</v>
      </c>
      <c r="J1009">
        <v>-3.3823562238720259E-3</v>
      </c>
      <c r="K1009">
        <v>2749.55137054338</v>
      </c>
      <c r="L1009">
        <v>4.2915888797719218E-3</v>
      </c>
      <c r="M1009">
        <v>2737.80185056647</v>
      </c>
      <c r="N1009">
        <v>9.6762403310185992</v>
      </c>
      <c r="O1009">
        <v>88.966415456532303</v>
      </c>
      <c r="P1009">
        <v>28.9371352908719</v>
      </c>
      <c r="Q1009">
        <v>28.330068056903599</v>
      </c>
      <c r="R1009">
        <v>2835978</v>
      </c>
      <c r="S1009">
        <v>-7.6411524188934555E-3</v>
      </c>
      <c r="T1009">
        <v>68.974000000000004</v>
      </c>
      <c r="U1009">
        <v>6.35</v>
      </c>
      <c r="V1009">
        <v>40.764119999999998</v>
      </c>
      <c r="W1009">
        <v>5.2284319999999997</v>
      </c>
      <c r="X1009">
        <v>69.083510000000004</v>
      </c>
      <c r="Y1009">
        <v>69</v>
      </c>
      <c r="Z1009">
        <v>52.100051911930699</v>
      </c>
      <c r="AF1009">
        <v>0</v>
      </c>
      <c r="AJ1009">
        <v>-0.38366597890853882</v>
      </c>
      <c r="AK1009">
        <v>-8.0935068428516388E-2</v>
      </c>
      <c r="AL1009">
        <v>6.1868825000000002E-2</v>
      </c>
      <c r="AM1009">
        <f>VLOOKUP(D1009,[1]Sheet1!$C$1:$D$191,2,FALSE)</f>
        <v>142</v>
      </c>
    </row>
    <row r="1010" spans="1:39" x14ac:dyDescent="0.35">
      <c r="A1010">
        <v>2016</v>
      </c>
      <c r="B1010" t="s">
        <v>145</v>
      </c>
      <c r="C1010">
        <v>142</v>
      </c>
      <c r="D1010" t="s">
        <v>325</v>
      </c>
      <c r="E1010">
        <v>41103.40202749263</v>
      </c>
      <c r="G1010">
        <v>41103.40202749263</v>
      </c>
      <c r="H1010">
        <v>8159947934.6382799</v>
      </c>
      <c r="I1010">
        <v>7980917075.7748003</v>
      </c>
      <c r="J1010">
        <v>4.64601436259416E-2</v>
      </c>
      <c r="K1010">
        <v>2910.9548687237598</v>
      </c>
      <c r="L1010">
        <v>5.8701757642914083E-2</v>
      </c>
      <c r="M1010">
        <v>2749.55137054338</v>
      </c>
      <c r="N1010">
        <v>6.3593089803793204</v>
      </c>
      <c r="O1010">
        <v>89.004683718867099</v>
      </c>
      <c r="P1010">
        <v>25.842113004734699</v>
      </c>
      <c r="Q1010">
        <v>26.6745413540011</v>
      </c>
      <c r="R1010">
        <v>2803186</v>
      </c>
      <c r="S1010">
        <v>-1.1562854154721934E-2</v>
      </c>
      <c r="T1010">
        <v>68.016000000000005</v>
      </c>
      <c r="U1010">
        <v>6.01</v>
      </c>
      <c r="V1010">
        <v>44.325133000000001</v>
      </c>
      <c r="W1010">
        <v>7.3974260000000003</v>
      </c>
      <c r="X1010">
        <v>64.16122</v>
      </c>
      <c r="Y1010">
        <v>71</v>
      </c>
      <c r="Z1010">
        <v>52.843582378437397</v>
      </c>
      <c r="AF1010">
        <v>0</v>
      </c>
      <c r="AJ1010">
        <v>-0.52921909093856812</v>
      </c>
      <c r="AK1010">
        <v>-0.1331951767206192</v>
      </c>
      <c r="AL1010">
        <v>0.15340137500000001</v>
      </c>
      <c r="AM1010">
        <f>VLOOKUP(D1010,[1]Sheet1!$C$1:$D$191,2,FALSE)</f>
        <v>142</v>
      </c>
    </row>
    <row r="1011" spans="1:39" x14ac:dyDescent="0.35">
      <c r="A1011">
        <v>2017</v>
      </c>
      <c r="B1011" t="s">
        <v>145</v>
      </c>
      <c r="C1011">
        <v>142</v>
      </c>
      <c r="D1011" t="s">
        <v>325</v>
      </c>
      <c r="E1011">
        <v>76491.280190108519</v>
      </c>
      <c r="F1011">
        <v>332459.71016866202</v>
      </c>
      <c r="G1011">
        <v>408950.99035877053</v>
      </c>
      <c r="H1011">
        <v>8500675703.9574804</v>
      </c>
      <c r="I1011">
        <v>9514404016.2094898</v>
      </c>
      <c r="J1011">
        <v>4.1756120510627319E-2</v>
      </c>
      <c r="K1011">
        <v>3085.3330584426299</v>
      </c>
      <c r="L1011">
        <v>5.9904119982224988E-2</v>
      </c>
      <c r="M1011">
        <v>2910.9548687237598</v>
      </c>
      <c r="N1011">
        <v>6.5702299745560504</v>
      </c>
      <c r="O1011">
        <v>88.623390275437799</v>
      </c>
      <c r="P1011">
        <v>23.1336799067392</v>
      </c>
      <c r="Q1011">
        <v>27.2406325954008</v>
      </c>
      <c r="R1011">
        <v>2755189</v>
      </c>
      <c r="S1011">
        <v>-1.7122302979538283E-2</v>
      </c>
      <c r="T1011">
        <v>66</v>
      </c>
      <c r="U1011">
        <v>5.94</v>
      </c>
      <c r="V1011">
        <v>47.382922999999998</v>
      </c>
      <c r="W1011">
        <v>5.7834669999999999</v>
      </c>
      <c r="X1011">
        <v>65.246309999999994</v>
      </c>
      <c r="Y1011">
        <v>49.9</v>
      </c>
      <c r="Z1011">
        <v>51.949029139352497</v>
      </c>
      <c r="AF1011">
        <v>0</v>
      </c>
      <c r="AJ1011">
        <v>-0.45182839035987848</v>
      </c>
      <c r="AK1011">
        <v>-5.2342265844345093E-2</v>
      </c>
      <c r="AL1011">
        <v>0.18122975</v>
      </c>
      <c r="AM1011">
        <f>VLOOKUP(D1011,[1]Sheet1!$C$1:$D$191,2,FALSE)</f>
        <v>142</v>
      </c>
    </row>
    <row r="1012" spans="1:39" x14ac:dyDescent="0.35">
      <c r="A1012">
        <v>2018</v>
      </c>
      <c r="B1012" t="s">
        <v>145</v>
      </c>
      <c r="C1012">
        <v>142</v>
      </c>
      <c r="D1012" t="s">
        <v>325</v>
      </c>
      <c r="E1012">
        <v>24842.38</v>
      </c>
      <c r="F1012">
        <v>59042597.618049987</v>
      </c>
      <c r="G1012">
        <v>59067439.998049989</v>
      </c>
      <c r="H1012">
        <v>8847128857.5146103</v>
      </c>
      <c r="I1012">
        <v>11252353420.879801</v>
      </c>
      <c r="J1012">
        <v>4.0755954658503082E-2</v>
      </c>
      <c r="K1012">
        <v>3267.9961042872001</v>
      </c>
      <c r="L1012">
        <v>5.9203671819071692E-2</v>
      </c>
      <c r="M1012">
        <v>3085.3330584426299</v>
      </c>
      <c r="N1012">
        <v>3.04505397337071</v>
      </c>
      <c r="O1012">
        <v>87.4467874275648</v>
      </c>
      <c r="P1012">
        <v>23.6435926979314</v>
      </c>
      <c r="Q1012">
        <v>27.783597821609199</v>
      </c>
      <c r="R1012">
        <v>2707203</v>
      </c>
      <c r="S1012">
        <v>-1.7416591021523386E-2</v>
      </c>
      <c r="T1012">
        <v>64.924000000000007</v>
      </c>
      <c r="U1012">
        <v>5.85</v>
      </c>
      <c r="V1012">
        <v>49.940997000000003</v>
      </c>
      <c r="W1012">
        <v>5.1698339999999998</v>
      </c>
      <c r="X1012">
        <v>65.472949999999997</v>
      </c>
      <c r="Y1012">
        <v>50.3</v>
      </c>
      <c r="Z1012">
        <v>52.842309205945597</v>
      </c>
      <c r="AF1012">
        <v>0</v>
      </c>
      <c r="AJ1012">
        <v>-0.43880274891853333</v>
      </c>
      <c r="AK1012">
        <v>-3.2315399497747421E-2</v>
      </c>
      <c r="AL1012">
        <v>0.15342467500000001</v>
      </c>
      <c r="AM1012">
        <f>VLOOKUP(D1012,[1]Sheet1!$C$1:$D$191,2,FALSE)</f>
        <v>142</v>
      </c>
    </row>
    <row r="1013" spans="1:39" x14ac:dyDescent="0.35">
      <c r="A1013">
        <v>2019</v>
      </c>
      <c r="B1013" t="s">
        <v>145</v>
      </c>
      <c r="C1013">
        <v>142</v>
      </c>
      <c r="D1013" t="s">
        <v>325</v>
      </c>
      <c r="E1013">
        <v>12359.13226317</v>
      </c>
      <c r="F1013">
        <v>179130782.78955361</v>
      </c>
      <c r="G1013">
        <v>179143141.92181677</v>
      </c>
      <c r="H1013">
        <v>9161406662.0689602</v>
      </c>
      <c r="I1013">
        <v>11736797054.696501</v>
      </c>
      <c r="J1013">
        <v>3.5523140853476701E-2</v>
      </c>
      <c r="K1013">
        <v>3438.6773267071198</v>
      </c>
      <c r="L1013">
        <v>5.2228098496203058E-2</v>
      </c>
      <c r="M1013">
        <v>3267.9961042872001</v>
      </c>
      <c r="N1013">
        <v>4.8377835142872803</v>
      </c>
      <c r="O1013">
        <v>87.6322371148906</v>
      </c>
      <c r="P1013">
        <v>25.324225268260399</v>
      </c>
      <c r="Q1013">
        <v>28.271805122683499</v>
      </c>
      <c r="R1013">
        <v>2664224</v>
      </c>
      <c r="S1013">
        <v>-1.5875795054896141E-2</v>
      </c>
      <c r="T1013">
        <v>65.814999999999998</v>
      </c>
      <c r="U1013">
        <v>5.75</v>
      </c>
      <c r="V1013">
        <v>50.757365</v>
      </c>
      <c r="W1013">
        <v>5.4089270000000003</v>
      </c>
      <c r="X1013">
        <v>65.141459999999995</v>
      </c>
      <c r="Y1013">
        <v>57.7605</v>
      </c>
      <c r="Z1013">
        <v>54.781204803067503</v>
      </c>
      <c r="AF1013">
        <v>0</v>
      </c>
      <c r="AJ1013">
        <v>-0.4580899178981781</v>
      </c>
      <c r="AK1013">
        <v>-4.7521766275167472E-2</v>
      </c>
      <c r="AL1013">
        <v>0.25873115000000002</v>
      </c>
      <c r="AM1013">
        <f>VLOOKUP(D1013,[1]Sheet1!$C$1:$D$191,2,FALSE)</f>
        <v>142</v>
      </c>
    </row>
    <row r="1014" spans="1:39" x14ac:dyDescent="0.35">
      <c r="A1014">
        <v>2020</v>
      </c>
      <c r="B1014" t="s">
        <v>145</v>
      </c>
      <c r="C1014">
        <v>142</v>
      </c>
      <c r="D1014" t="s">
        <v>325</v>
      </c>
      <c r="E1014">
        <v>34228.699870600001</v>
      </c>
      <c r="F1014">
        <v>93818390.528934047</v>
      </c>
      <c r="G1014">
        <v>93852619.228804648</v>
      </c>
      <c r="H1014">
        <v>8403210632.9302101</v>
      </c>
      <c r="I1014">
        <v>11530746234.4492</v>
      </c>
      <c r="J1014">
        <v>-8.2759783197695475E-2</v>
      </c>
      <c r="K1014">
        <v>3188.9169160269898</v>
      </c>
      <c r="L1014">
        <v>-7.2632697677191119E-2</v>
      </c>
      <c r="M1014">
        <v>3438.6773267071198</v>
      </c>
      <c r="N1014">
        <v>3.7659712224535098</v>
      </c>
      <c r="O1014">
        <v>79.265722119157999</v>
      </c>
      <c r="P1014">
        <v>28.6748195514405</v>
      </c>
      <c r="Q1014">
        <v>32.722272372529197</v>
      </c>
      <c r="R1014">
        <v>2635130</v>
      </c>
      <c r="S1014">
        <v>-1.0920252951703761E-2</v>
      </c>
      <c r="T1014">
        <v>67.369</v>
      </c>
      <c r="U1014">
        <v>5.78</v>
      </c>
      <c r="V1014">
        <v>50.865347</v>
      </c>
      <c r="W1014">
        <v>4.6451130000000003</v>
      </c>
      <c r="X1014">
        <v>64.488309999999998</v>
      </c>
      <c r="Y1014">
        <v>58.215299999999999</v>
      </c>
      <c r="Z1014">
        <v>56.249819661251699</v>
      </c>
      <c r="AF1014">
        <v>0</v>
      </c>
      <c r="AJ1014">
        <v>-0.51500558853149414</v>
      </c>
      <c r="AK1014">
        <v>-1.091606821864843E-2</v>
      </c>
      <c r="AL1014">
        <v>0.17915745</v>
      </c>
      <c r="AM1014">
        <f>VLOOKUP(D1014,[1]Sheet1!$C$1:$D$191,2,FALSE)</f>
        <v>142</v>
      </c>
    </row>
    <row r="1015" spans="1:39" x14ac:dyDescent="0.35">
      <c r="A1015">
        <v>2015</v>
      </c>
      <c r="B1015" t="s">
        <v>146</v>
      </c>
      <c r="C1015">
        <v>143</v>
      </c>
      <c r="D1015" t="s">
        <v>369</v>
      </c>
      <c r="E1015">
        <v>431813.72899999999</v>
      </c>
      <c r="G1015">
        <v>431813.72899999999</v>
      </c>
      <c r="H1015">
        <v>6264756528.3769102</v>
      </c>
      <c r="I1015">
        <v>6264756528.3769102</v>
      </c>
      <c r="J1015">
        <v>4.9103717653622453E-2</v>
      </c>
      <c r="K1015">
        <v>170437.101188261</v>
      </c>
      <c r="L1015">
        <v>3.1151049089698082E-2</v>
      </c>
      <c r="M1015">
        <v>165288.200345355</v>
      </c>
      <c r="R1015">
        <v>36757</v>
      </c>
      <c r="S1015">
        <v>1.741031886625332E-2</v>
      </c>
      <c r="V1015">
        <v>0</v>
      </c>
      <c r="W1015">
        <v>0</v>
      </c>
      <c r="X1015">
        <v>0</v>
      </c>
      <c r="Y1015">
        <v>93.363299999999995</v>
      </c>
      <c r="AA1015">
        <v>2018</v>
      </c>
      <c r="AC1015">
        <v>0</v>
      </c>
      <c r="AF1015">
        <v>1</v>
      </c>
      <c r="AJ1015">
        <v>1.513191819190979</v>
      </c>
      <c r="AK1015">
        <v>1.271965503692627</v>
      </c>
      <c r="AM1015">
        <f>VLOOKUP(D1015,[1]Sheet1!$C$1:$D$191,2,FALSE)</f>
        <v>143</v>
      </c>
    </row>
    <row r="1016" spans="1:39" x14ac:dyDescent="0.35">
      <c r="A1016">
        <v>2016</v>
      </c>
      <c r="B1016" t="s">
        <v>146</v>
      </c>
      <c r="C1016">
        <v>143</v>
      </c>
      <c r="D1016" t="s">
        <v>369</v>
      </c>
      <c r="E1016">
        <v>2135567.8248359999</v>
      </c>
      <c r="G1016">
        <v>2135567.8248359999</v>
      </c>
      <c r="H1016">
        <v>6453228194.42908</v>
      </c>
      <c r="I1016">
        <v>6471290793.5502901</v>
      </c>
      <c r="J1016">
        <v>3.0084435875275675E-2</v>
      </c>
      <c r="K1016">
        <v>173120.18978509199</v>
      </c>
      <c r="L1016">
        <v>1.5742397506909655E-2</v>
      </c>
      <c r="M1016">
        <v>170437.101188261</v>
      </c>
      <c r="R1016">
        <v>37276</v>
      </c>
      <c r="S1016">
        <v>1.4119759501591533E-2</v>
      </c>
      <c r="T1016">
        <v>22.16</v>
      </c>
      <c r="V1016">
        <v>0</v>
      </c>
      <c r="W1016">
        <v>0</v>
      </c>
      <c r="X1016">
        <v>0</v>
      </c>
      <c r="Y1016">
        <v>95.208200000000005</v>
      </c>
      <c r="Z1016">
        <v>53.566799163818402</v>
      </c>
      <c r="AA1016">
        <v>2018</v>
      </c>
      <c r="AC1016">
        <v>0</v>
      </c>
      <c r="AF1016">
        <v>1</v>
      </c>
      <c r="AJ1016">
        <v>1.512936115264893</v>
      </c>
      <c r="AK1016">
        <v>1.2299506664276121</v>
      </c>
      <c r="AM1016">
        <f>VLOOKUP(D1016,[1]Sheet1!$C$1:$D$191,2,FALSE)</f>
        <v>143</v>
      </c>
    </row>
    <row r="1017" spans="1:39" x14ac:dyDescent="0.35">
      <c r="A1017">
        <v>2017</v>
      </c>
      <c r="B1017" t="s">
        <v>146</v>
      </c>
      <c r="C1017">
        <v>143</v>
      </c>
      <c r="D1017" t="s">
        <v>369</v>
      </c>
      <c r="E1017">
        <v>9774.8558460038403</v>
      </c>
      <c r="G1017">
        <v>9774.8558460038403</v>
      </c>
      <c r="H1017">
        <v>6246325873.74088</v>
      </c>
      <c r="I1017">
        <v>6430254652.5893402</v>
      </c>
      <c r="J1017">
        <v>-3.2061832381321008E-2</v>
      </c>
      <c r="K1017">
        <v>165781.77912152599</v>
      </c>
      <c r="L1017">
        <v>-4.2389109396632235E-2</v>
      </c>
      <c r="M1017">
        <v>173120.18978509199</v>
      </c>
      <c r="R1017">
        <v>37678</v>
      </c>
      <c r="S1017">
        <v>1.0784418929069643E-2</v>
      </c>
      <c r="V1017">
        <v>0</v>
      </c>
      <c r="W1017">
        <v>0</v>
      </c>
      <c r="X1017">
        <v>0</v>
      </c>
      <c r="Y1017">
        <v>97.052999999999997</v>
      </c>
      <c r="AA1017">
        <v>2018</v>
      </c>
      <c r="AC1017">
        <v>0</v>
      </c>
      <c r="AF1017">
        <v>1</v>
      </c>
      <c r="AJ1017">
        <v>1.535568833351135</v>
      </c>
      <c r="AK1017">
        <v>1.20018458366394</v>
      </c>
      <c r="AM1017">
        <f>VLOOKUP(D1017,[1]Sheet1!$C$1:$D$191,2,FALSE)</f>
        <v>143</v>
      </c>
    </row>
    <row r="1018" spans="1:39" x14ac:dyDescent="0.35">
      <c r="A1018">
        <v>2018</v>
      </c>
      <c r="B1018" t="s">
        <v>146</v>
      </c>
      <c r="C1018">
        <v>143</v>
      </c>
      <c r="D1018" t="s">
        <v>369</v>
      </c>
      <c r="E1018">
        <v>1535495</v>
      </c>
      <c r="F1018">
        <v>35434.5</v>
      </c>
      <c r="G1018">
        <v>1570929.5</v>
      </c>
      <c r="H1018">
        <v>6602235351.4018097</v>
      </c>
      <c r="I1018">
        <v>7184333936.0135498</v>
      </c>
      <c r="J1018">
        <v>5.6979012119292141E-2</v>
      </c>
      <c r="K1018">
        <v>173041.76105786601</v>
      </c>
      <c r="L1018">
        <v>4.3792399712504607E-2</v>
      </c>
      <c r="M1018">
        <v>165781.77912152599</v>
      </c>
      <c r="R1018">
        <v>38154</v>
      </c>
      <c r="S1018">
        <v>1.2633366951536705E-2</v>
      </c>
      <c r="V1018">
        <v>0</v>
      </c>
      <c r="W1018">
        <v>0</v>
      </c>
      <c r="X1018">
        <v>0</v>
      </c>
      <c r="AA1018">
        <v>2018</v>
      </c>
      <c r="AC1018">
        <v>1</v>
      </c>
      <c r="AF1018">
        <v>1</v>
      </c>
      <c r="AG1018">
        <v>0</v>
      </c>
      <c r="AJ1018">
        <v>1.5365079641342161</v>
      </c>
      <c r="AK1018">
        <v>1.187329053878784</v>
      </c>
      <c r="AM1018">
        <f>VLOOKUP(D1018,[1]Sheet1!$C$1:$D$191,2,FALSE)</f>
        <v>143</v>
      </c>
    </row>
    <row r="1019" spans="1:39" x14ac:dyDescent="0.35">
      <c r="A1019">
        <v>2019</v>
      </c>
      <c r="B1019" t="s">
        <v>146</v>
      </c>
      <c r="C1019">
        <v>143</v>
      </c>
      <c r="D1019" t="s">
        <v>369</v>
      </c>
      <c r="E1019">
        <v>11036588.67</v>
      </c>
      <c r="G1019">
        <v>11036588.67</v>
      </c>
      <c r="H1019">
        <v>7072373236.6092701</v>
      </c>
      <c r="I1019">
        <v>7383496254.2372103</v>
      </c>
      <c r="J1019">
        <v>7.1208895197539285E-2</v>
      </c>
      <c r="K1019">
        <v>185582.75569049999</v>
      </c>
      <c r="L1019">
        <v>7.2473803756771843E-2</v>
      </c>
      <c r="M1019">
        <v>173041.76105786601</v>
      </c>
      <c r="R1019">
        <v>38109</v>
      </c>
      <c r="S1019">
        <v>-1.1794307281019027E-3</v>
      </c>
      <c r="V1019">
        <v>0</v>
      </c>
      <c r="W1019">
        <v>0</v>
      </c>
      <c r="X1019">
        <v>0</v>
      </c>
      <c r="Y1019">
        <v>83.339699999999993</v>
      </c>
      <c r="AA1019">
        <v>2018</v>
      </c>
      <c r="AC1019">
        <v>1</v>
      </c>
      <c r="AF1019">
        <v>1</v>
      </c>
      <c r="AG1019">
        <v>1</v>
      </c>
      <c r="AJ1019">
        <v>1.5102149248123169</v>
      </c>
      <c r="AK1019">
        <v>1.221926212310791</v>
      </c>
      <c r="AM1019">
        <f>VLOOKUP(D1019,[1]Sheet1!$C$1:$D$191,2,FALSE)</f>
        <v>143</v>
      </c>
    </row>
    <row r="1020" spans="1:39" x14ac:dyDescent="0.35">
      <c r="A1020">
        <v>2015</v>
      </c>
      <c r="B1020" t="s">
        <v>147</v>
      </c>
      <c r="C1020">
        <v>144</v>
      </c>
      <c r="D1020" t="s">
        <v>370</v>
      </c>
      <c r="E1020">
        <v>10621.063647999999</v>
      </c>
      <c r="G1020">
        <v>10621.063647999999</v>
      </c>
      <c r="H1020">
        <v>4054730077.5771799</v>
      </c>
      <c r="I1020">
        <v>4054730077.5771799</v>
      </c>
      <c r="J1020">
        <v>3.3903813971207571E-2</v>
      </c>
      <c r="K1020">
        <v>6517.1926751476403</v>
      </c>
      <c r="L1020">
        <v>3.3323845778068281E-2</v>
      </c>
      <c r="M1020">
        <v>6307.0185612917403</v>
      </c>
      <c r="N1020">
        <v>1.5486915822248599</v>
      </c>
      <c r="O1020">
        <v>102.68897735183199</v>
      </c>
      <c r="P1020">
        <v>50.366070062432399</v>
      </c>
      <c r="R1020">
        <v>622159</v>
      </c>
      <c r="S1020">
        <v>5.6126469500329679E-4</v>
      </c>
      <c r="T1020">
        <v>20.908999999999999</v>
      </c>
      <c r="U1020">
        <v>6.01</v>
      </c>
      <c r="V1020">
        <v>76.123761999999999</v>
      </c>
      <c r="W1020">
        <v>4.2854130000000001</v>
      </c>
      <c r="X1020">
        <v>51.956519999999998</v>
      </c>
      <c r="Y1020">
        <v>68.119799999999998</v>
      </c>
      <c r="Z1020">
        <v>63.937271118164098</v>
      </c>
      <c r="AJ1020">
        <v>-4.567858949303627E-2</v>
      </c>
      <c r="AK1020">
        <v>0.2263267785310745</v>
      </c>
      <c r="AM1020">
        <f>VLOOKUP(D1020,[1]Sheet1!$C$1:$D$191,2,FALSE)</f>
        <v>144</v>
      </c>
    </row>
    <row r="1021" spans="1:39" x14ac:dyDescent="0.35">
      <c r="A1021">
        <v>2016</v>
      </c>
      <c r="B1021" t="s">
        <v>147</v>
      </c>
      <c r="C1021">
        <v>144</v>
      </c>
      <c r="D1021" t="s">
        <v>370</v>
      </c>
      <c r="E1021">
        <v>18733.73746482388</v>
      </c>
      <c r="G1021">
        <v>18733.73746482388</v>
      </c>
      <c r="H1021">
        <v>4174315433.8238201</v>
      </c>
      <c r="I1021">
        <v>4376930578.3239498</v>
      </c>
      <c r="J1021">
        <v>2.9492803209750514E-2</v>
      </c>
      <c r="K1021">
        <v>6707.8504102082397</v>
      </c>
      <c r="L1021">
        <v>2.9254580087473055E-2</v>
      </c>
      <c r="M1021">
        <v>6517.1926751476403</v>
      </c>
      <c r="N1021">
        <v>-0.27138502338517601</v>
      </c>
      <c r="O1021">
        <v>103.672945121037</v>
      </c>
      <c r="P1021">
        <v>49.274851826318802</v>
      </c>
      <c r="R1021">
        <v>622303</v>
      </c>
      <c r="S1021">
        <v>2.3145208861400382E-4</v>
      </c>
      <c r="T1021">
        <v>23.824999999999999</v>
      </c>
      <c r="U1021">
        <v>5.72</v>
      </c>
      <c r="V1021">
        <v>77.919777999999994</v>
      </c>
      <c r="W1021">
        <v>4.2704259999999996</v>
      </c>
      <c r="X1021">
        <v>48.909120000000001</v>
      </c>
      <c r="Y1021">
        <v>69.881600000000006</v>
      </c>
      <c r="Z1021">
        <v>59.183921813964801</v>
      </c>
      <c r="AJ1021">
        <v>-0.1351339370012283</v>
      </c>
      <c r="AK1021">
        <v>0.234211266040802</v>
      </c>
      <c r="AM1021">
        <f>VLOOKUP(D1021,[1]Sheet1!$C$1:$D$191,2,FALSE)</f>
        <v>144</v>
      </c>
    </row>
    <row r="1022" spans="1:39" x14ac:dyDescent="0.35">
      <c r="A1022">
        <v>2018</v>
      </c>
      <c r="B1022" t="s">
        <v>147</v>
      </c>
      <c r="C1022">
        <v>144</v>
      </c>
      <c r="D1022" t="s">
        <v>370</v>
      </c>
      <c r="E1022">
        <v>1400</v>
      </c>
      <c r="G1022">
        <v>1400</v>
      </c>
      <c r="H1022">
        <v>4593160022.6192198</v>
      </c>
      <c r="I1022">
        <v>5506942238.3566799</v>
      </c>
      <c r="J1022">
        <v>5.0778888113379828E-2</v>
      </c>
      <c r="K1022">
        <v>7381.8076403293699</v>
      </c>
      <c r="L1022">
        <v>5.1025443980716977E-2</v>
      </c>
      <c r="M1022">
        <v>7023.4338118124597</v>
      </c>
      <c r="N1022">
        <v>2.611223782638</v>
      </c>
      <c r="O1022">
        <v>109.60929675990199</v>
      </c>
      <c r="P1022">
        <v>49.562450433078197</v>
      </c>
      <c r="R1022">
        <v>622227</v>
      </c>
      <c r="S1022">
        <v>-2.3458601192532453E-4</v>
      </c>
      <c r="T1022">
        <v>24.949000000000002</v>
      </c>
      <c r="U1022">
        <v>5.74</v>
      </c>
      <c r="V1022">
        <v>87.046738000000005</v>
      </c>
      <c r="W1022">
        <v>4.0179809999999998</v>
      </c>
      <c r="X1022">
        <v>53.12603</v>
      </c>
      <c r="Y1022">
        <v>71.517099999999999</v>
      </c>
      <c r="Z1022">
        <v>58.183151245117202</v>
      </c>
      <c r="AJ1022">
        <v>2.768178004771471E-3</v>
      </c>
      <c r="AK1022">
        <v>0.39195871353149409</v>
      </c>
      <c r="AM1022">
        <f>VLOOKUP(D1022,[1]Sheet1!$C$1:$D$191,2,FALSE)</f>
        <v>144</v>
      </c>
    </row>
    <row r="1023" spans="1:39" x14ac:dyDescent="0.35">
      <c r="A1023">
        <v>2015</v>
      </c>
      <c r="B1023" t="s">
        <v>148</v>
      </c>
      <c r="C1023">
        <v>145</v>
      </c>
      <c r="D1023" t="s">
        <v>326</v>
      </c>
      <c r="E1023">
        <v>10084.904184999999</v>
      </c>
      <c r="G1023">
        <v>10084.904184999999</v>
      </c>
      <c r="H1023">
        <v>10064519962.5655</v>
      </c>
      <c r="I1023">
        <v>10064519962.5655</v>
      </c>
      <c r="J1023">
        <v>3.8558651404169343E-2</v>
      </c>
      <c r="K1023">
        <v>5262.6867192867403</v>
      </c>
      <c r="L1023">
        <v>4.1342905053063608E-2</v>
      </c>
      <c r="M1023">
        <v>5053.7500123636701</v>
      </c>
      <c r="N1023">
        <v>-0.299920475631552</v>
      </c>
      <c r="O1023">
        <v>113.698443879103</v>
      </c>
      <c r="P1023">
        <v>52.032036469466703</v>
      </c>
      <c r="Q1023">
        <v>28.794607015067399</v>
      </c>
      <c r="R1023">
        <v>1912430</v>
      </c>
      <c r="S1023">
        <v>-2.6737145232188664E-3</v>
      </c>
      <c r="T1023">
        <v>37.988</v>
      </c>
      <c r="U1023">
        <v>6.02</v>
      </c>
      <c r="V1023">
        <v>60.931337999999997</v>
      </c>
      <c r="W1023">
        <v>3.9995430000000001</v>
      </c>
      <c r="X1023">
        <v>63.7027</v>
      </c>
      <c r="Y1023">
        <v>70.380200000000002</v>
      </c>
      <c r="Z1023">
        <v>42.081180572509801</v>
      </c>
      <c r="AA1023">
        <v>2023</v>
      </c>
      <c r="AC1023">
        <v>0</v>
      </c>
      <c r="AF1023">
        <v>1</v>
      </c>
      <c r="AJ1023">
        <v>-0.2378467470407486</v>
      </c>
      <c r="AK1023">
        <v>0.35989454388618469</v>
      </c>
      <c r="AL1023">
        <v>5.7203575E-2</v>
      </c>
      <c r="AM1023">
        <f>VLOOKUP(D1023,[1]Sheet1!$C$1:$D$191,2,FALSE)</f>
        <v>145</v>
      </c>
    </row>
    <row r="1024" spans="1:39" x14ac:dyDescent="0.35">
      <c r="A1024">
        <v>2016</v>
      </c>
      <c r="B1024" t="s">
        <v>148</v>
      </c>
      <c r="C1024">
        <v>145</v>
      </c>
      <c r="D1024" t="s">
        <v>326</v>
      </c>
      <c r="E1024">
        <v>138655.79367730109</v>
      </c>
      <c r="G1024">
        <v>138655.79367730109</v>
      </c>
      <c r="H1024">
        <v>10351178142.8536</v>
      </c>
      <c r="I1024">
        <v>10672467073.2873</v>
      </c>
      <c r="J1024">
        <v>2.8482051936337814E-2</v>
      </c>
      <c r="K1024">
        <v>5429.9467835835903</v>
      </c>
      <c r="L1024">
        <v>3.1782257470100564E-2</v>
      </c>
      <c r="M1024">
        <v>5262.6867192867403</v>
      </c>
      <c r="N1024">
        <v>-0.23929078768441001</v>
      </c>
      <c r="O1024">
        <v>116.185408418026</v>
      </c>
      <c r="P1024">
        <v>48.978005846804898</v>
      </c>
      <c r="Q1024">
        <v>27.783137674492899</v>
      </c>
      <c r="R1024">
        <v>1906313</v>
      </c>
      <c r="S1024">
        <v>-3.1985484436031645E-3</v>
      </c>
      <c r="T1024">
        <v>34.912999999999997</v>
      </c>
      <c r="U1024">
        <v>5.23</v>
      </c>
      <c r="V1024">
        <v>60.240125999999997</v>
      </c>
      <c r="W1024">
        <v>4.1872160000000003</v>
      </c>
      <c r="X1024">
        <v>62.554519999999997</v>
      </c>
      <c r="Y1024">
        <v>72.156800000000004</v>
      </c>
      <c r="AA1024">
        <v>2023</v>
      </c>
      <c r="AC1024">
        <v>0</v>
      </c>
      <c r="AF1024">
        <v>1</v>
      </c>
      <c r="AJ1024">
        <v>-0.34436836838722229</v>
      </c>
      <c r="AK1024">
        <v>0.38336986303329468</v>
      </c>
      <c r="AL1024">
        <v>0.12901024999999999</v>
      </c>
      <c r="AM1024">
        <f>VLOOKUP(D1024,[1]Sheet1!$C$1:$D$191,2,FALSE)</f>
        <v>145</v>
      </c>
    </row>
    <row r="1025" spans="1:39" x14ac:dyDescent="0.35">
      <c r="A1025">
        <v>2017</v>
      </c>
      <c r="B1025" t="s">
        <v>148</v>
      </c>
      <c r="C1025">
        <v>145</v>
      </c>
      <c r="D1025" t="s">
        <v>326</v>
      </c>
      <c r="E1025">
        <v>56690.233295090533</v>
      </c>
      <c r="G1025">
        <v>56690.233295090526</v>
      </c>
      <c r="H1025">
        <v>10463154366.078501</v>
      </c>
      <c r="I1025">
        <v>11307067069.6658</v>
      </c>
      <c r="J1025">
        <v>1.081772738132316E-2</v>
      </c>
      <c r="K1025">
        <v>5510.8186292092196</v>
      </c>
      <c r="L1025">
        <v>1.4893671862518039E-2</v>
      </c>
      <c r="M1025">
        <v>5429.9467835835903</v>
      </c>
      <c r="N1025">
        <v>1.35161889677442</v>
      </c>
      <c r="O1025">
        <v>124.13728389629</v>
      </c>
      <c r="P1025">
        <v>49.884479242285799</v>
      </c>
      <c r="Q1025">
        <v>27.996704708901099</v>
      </c>
      <c r="R1025">
        <v>1898657</v>
      </c>
      <c r="S1025">
        <v>-4.0161295652917442E-3</v>
      </c>
      <c r="T1025">
        <v>33.450000000000003</v>
      </c>
      <c r="U1025">
        <v>5.57</v>
      </c>
      <c r="V1025">
        <v>59.634500000000003</v>
      </c>
      <c r="W1025">
        <v>4.5520649999999998</v>
      </c>
      <c r="X1025">
        <v>65.168859999999995</v>
      </c>
      <c r="Y1025">
        <v>74.516800000000003</v>
      </c>
      <c r="Z1025">
        <v>43.509769439697301</v>
      </c>
      <c r="AA1025">
        <v>2023</v>
      </c>
      <c r="AC1025">
        <v>0</v>
      </c>
      <c r="AF1025">
        <v>1</v>
      </c>
      <c r="AJ1025">
        <v>-0.31062355637550348</v>
      </c>
      <c r="AK1025">
        <v>0.44345054030418402</v>
      </c>
      <c r="AL1025">
        <v>0.12732502500000001</v>
      </c>
      <c r="AM1025">
        <f>VLOOKUP(D1025,[1]Sheet1!$C$1:$D$191,2,FALSE)</f>
        <v>145</v>
      </c>
    </row>
    <row r="1026" spans="1:39" x14ac:dyDescent="0.35">
      <c r="A1026">
        <v>2018</v>
      </c>
      <c r="B1026" t="s">
        <v>148</v>
      </c>
      <c r="C1026">
        <v>145</v>
      </c>
      <c r="D1026" t="s">
        <v>326</v>
      </c>
      <c r="E1026">
        <v>792624.54670599999</v>
      </c>
      <c r="F1026">
        <v>3240434.2355499999</v>
      </c>
      <c r="G1026">
        <v>4033058.7822559997</v>
      </c>
      <c r="H1026">
        <v>10764555646.472601</v>
      </c>
      <c r="I1026">
        <v>12683068114.2388</v>
      </c>
      <c r="J1026">
        <v>2.8805967096427611E-2</v>
      </c>
      <c r="K1026">
        <v>5698.3933448448897</v>
      </c>
      <c r="L1026">
        <v>3.4037541108948882E-2</v>
      </c>
      <c r="M1026">
        <v>5510.8186292092196</v>
      </c>
      <c r="N1026">
        <v>1.45831298507117</v>
      </c>
      <c r="O1026">
        <v>133.215207648008</v>
      </c>
      <c r="P1026">
        <v>50.244452558277203</v>
      </c>
      <c r="Q1026">
        <v>27.8450488948036</v>
      </c>
      <c r="R1026">
        <v>1889051</v>
      </c>
      <c r="S1026">
        <v>-5.0593656463489723E-3</v>
      </c>
      <c r="T1026">
        <v>33.314999999999998</v>
      </c>
      <c r="U1026">
        <v>5.87</v>
      </c>
      <c r="V1026">
        <v>60.001569000000003</v>
      </c>
      <c r="W1026">
        <v>4.0082509999999996</v>
      </c>
      <c r="X1026">
        <v>62.025359999999999</v>
      </c>
      <c r="Y1026">
        <v>79.1678</v>
      </c>
      <c r="Z1026">
        <v>43.854789733886697</v>
      </c>
      <c r="AA1026">
        <v>2023</v>
      </c>
      <c r="AC1026">
        <v>0</v>
      </c>
      <c r="AF1026">
        <v>1</v>
      </c>
      <c r="AJ1026">
        <v>-0.30850318074226379</v>
      </c>
      <c r="AK1026">
        <v>0.51539266109466553</v>
      </c>
      <c r="AL1026">
        <v>8.4013099999999993E-2</v>
      </c>
      <c r="AM1026">
        <f>VLOOKUP(D1026,[1]Sheet1!$C$1:$D$191,2,FALSE)</f>
        <v>145</v>
      </c>
    </row>
    <row r="1027" spans="1:39" x14ac:dyDescent="0.35">
      <c r="A1027">
        <v>2019</v>
      </c>
      <c r="B1027" t="s">
        <v>148</v>
      </c>
      <c r="C1027">
        <v>145</v>
      </c>
      <c r="D1027" t="s">
        <v>326</v>
      </c>
      <c r="E1027">
        <v>948659.33877447003</v>
      </c>
      <c r="F1027">
        <v>33412704.277019382</v>
      </c>
      <c r="G1027">
        <v>34361363.615793854</v>
      </c>
      <c r="H1027">
        <v>11185494933.694401</v>
      </c>
      <c r="I1027">
        <v>12606338448.547001</v>
      </c>
      <c r="J1027">
        <v>3.9104195384018096E-2</v>
      </c>
      <c r="K1027">
        <v>5961.5847539919096</v>
      </c>
      <c r="L1027">
        <v>4.6186950113775257E-2</v>
      </c>
      <c r="M1027">
        <v>5698.3933448448897</v>
      </c>
      <c r="N1027">
        <v>0.76643957345971603</v>
      </c>
      <c r="O1027">
        <v>138.57623184053901</v>
      </c>
      <c r="P1027">
        <v>51.2679656532734</v>
      </c>
      <c r="Q1027">
        <v>29.687235026989299</v>
      </c>
      <c r="R1027">
        <v>1876262</v>
      </c>
      <c r="S1027">
        <v>-6.7700660278626678E-3</v>
      </c>
      <c r="T1027">
        <v>33.607999999999997</v>
      </c>
      <c r="U1027">
        <v>5.97</v>
      </c>
      <c r="V1027">
        <v>59.956837999999998</v>
      </c>
      <c r="W1027">
        <v>3.6680429999999999</v>
      </c>
      <c r="X1027">
        <v>62.552059999999997</v>
      </c>
      <c r="Y1027">
        <v>81.412899999999993</v>
      </c>
      <c r="Z1027">
        <v>43.199100494384801</v>
      </c>
      <c r="AA1027">
        <v>2023</v>
      </c>
      <c r="AC1027">
        <v>0</v>
      </c>
      <c r="AF1027">
        <v>1</v>
      </c>
      <c r="AJ1027">
        <v>-0.30662575364112848</v>
      </c>
      <c r="AK1027">
        <v>0.44183608889579767</v>
      </c>
      <c r="AL1027">
        <v>6.6641325000000001E-2</v>
      </c>
      <c r="AM1027">
        <f>VLOOKUP(D1027,[1]Sheet1!$C$1:$D$191,2,FALSE)</f>
        <v>145</v>
      </c>
    </row>
    <row r="1028" spans="1:39" x14ac:dyDescent="0.35">
      <c r="A1028">
        <v>2020</v>
      </c>
      <c r="B1028" t="s">
        <v>148</v>
      </c>
      <c r="C1028">
        <v>145</v>
      </c>
      <c r="D1028" t="s">
        <v>326</v>
      </c>
      <c r="E1028">
        <v>291906.99551824998</v>
      </c>
      <c r="F1028">
        <v>20141483.183943249</v>
      </c>
      <c r="G1028">
        <v>20433390.179461498</v>
      </c>
      <c r="H1028">
        <v>10661068595.4055</v>
      </c>
      <c r="I1028">
        <v>12361036913.8409</v>
      </c>
      <c r="J1028">
        <v>-4.688450009566901E-2</v>
      </c>
      <c r="K1028">
        <v>5743.7264942458096</v>
      </c>
      <c r="L1028">
        <v>-3.6543682382477391E-2</v>
      </c>
      <c r="M1028">
        <v>5961.5847539919096</v>
      </c>
      <c r="N1028">
        <v>1.2000734888848701</v>
      </c>
      <c r="O1028">
        <v>128.24124432225699</v>
      </c>
      <c r="P1028">
        <v>55.746628688226401</v>
      </c>
      <c r="Q1028">
        <v>34.924170212467097</v>
      </c>
      <c r="R1028">
        <v>1856124</v>
      </c>
      <c r="S1028">
        <v>-1.073304261345164E-2</v>
      </c>
      <c r="T1028">
        <v>31.663</v>
      </c>
      <c r="U1028">
        <v>5.89</v>
      </c>
      <c r="V1028">
        <v>57.134687</v>
      </c>
      <c r="W1028">
        <v>3.3970289999999999</v>
      </c>
      <c r="X1028">
        <v>73.364019999999996</v>
      </c>
      <c r="Y1028">
        <v>81.405500000000004</v>
      </c>
      <c r="Z1028">
        <v>43.782169342041001</v>
      </c>
      <c r="AA1028">
        <v>2023</v>
      </c>
      <c r="AC1028">
        <v>0</v>
      </c>
      <c r="AF1028">
        <v>1</v>
      </c>
      <c r="AJ1028">
        <v>-0.106092594563961</v>
      </c>
      <c r="AK1028">
        <v>0.43572604656219482</v>
      </c>
      <c r="AL1028">
        <v>7.2113650000000001E-2</v>
      </c>
      <c r="AM1028">
        <f>VLOOKUP(D1028,[1]Sheet1!$C$1:$D$191,2,FALSE)</f>
        <v>145</v>
      </c>
    </row>
    <row r="1029" spans="1:39" x14ac:dyDescent="0.35">
      <c r="A1029">
        <v>2015</v>
      </c>
      <c r="B1029" t="s">
        <v>149</v>
      </c>
      <c r="C1029">
        <v>146</v>
      </c>
      <c r="D1029" t="s">
        <v>327</v>
      </c>
      <c r="E1029">
        <v>9573</v>
      </c>
      <c r="G1029">
        <v>9573</v>
      </c>
      <c r="H1029">
        <v>55767806100</v>
      </c>
      <c r="I1029">
        <v>55767806100</v>
      </c>
      <c r="J1029">
        <v>5.2669171959551807E-2</v>
      </c>
      <c r="K1029">
        <v>14082.6548502728</v>
      </c>
      <c r="L1029">
        <v>3.4610738756842223E-2</v>
      </c>
      <c r="M1029">
        <v>13611.5490809559</v>
      </c>
      <c r="N1029">
        <v>0.137492058461504</v>
      </c>
      <c r="O1029">
        <v>96.579157342895698</v>
      </c>
      <c r="P1029">
        <v>82.932427734610101</v>
      </c>
      <c r="Q1029">
        <v>13.999426353747101</v>
      </c>
      <c r="R1029">
        <v>3960035</v>
      </c>
      <c r="S1029">
        <v>1.7454326082493747E-2</v>
      </c>
      <c r="T1029">
        <v>55.408999999999999</v>
      </c>
      <c r="U1029">
        <v>7.19</v>
      </c>
      <c r="V1029">
        <v>67.677121</v>
      </c>
      <c r="W1029">
        <v>3.4810940000000001</v>
      </c>
      <c r="X1029">
        <v>38.609169999999999</v>
      </c>
      <c r="Y1029">
        <v>51.205399999999997</v>
      </c>
      <c r="Z1029">
        <v>47.581943558431298</v>
      </c>
      <c r="AJ1029">
        <v>-0.14097762107849121</v>
      </c>
      <c r="AK1029">
        <v>0.44725063443183899</v>
      </c>
      <c r="AL1029">
        <v>0.13533629999999999</v>
      </c>
      <c r="AM1029">
        <f>VLOOKUP(D1029,[1]Sheet1!$C$1:$D$191,2,FALSE)</f>
        <v>146</v>
      </c>
    </row>
    <row r="1030" spans="1:39" x14ac:dyDescent="0.35">
      <c r="A1030">
        <v>2016</v>
      </c>
      <c r="B1030" t="s">
        <v>149</v>
      </c>
      <c r="C1030">
        <v>146</v>
      </c>
      <c r="D1030" t="s">
        <v>327</v>
      </c>
      <c r="E1030">
        <v>119909.01</v>
      </c>
      <c r="F1030">
        <v>800000</v>
      </c>
      <c r="G1030">
        <v>919909.01</v>
      </c>
      <c r="H1030">
        <v>58317491835.780403</v>
      </c>
      <c r="I1030">
        <v>59760858700</v>
      </c>
      <c r="J1030">
        <v>4.5719670793727046E-2</v>
      </c>
      <c r="K1030">
        <v>14474.124363634901</v>
      </c>
      <c r="L1030">
        <v>2.7797991041051288E-2</v>
      </c>
      <c r="M1030">
        <v>14082.6548502728</v>
      </c>
      <c r="N1030">
        <v>0.73973402530003296</v>
      </c>
      <c r="O1030">
        <v>84.395971873811106</v>
      </c>
      <c r="P1030">
        <v>84.190871859727807</v>
      </c>
      <c r="Q1030">
        <v>13.6950577799679</v>
      </c>
      <c r="R1030">
        <v>4029086</v>
      </c>
      <c r="S1030">
        <v>1.7436967097513027E-2</v>
      </c>
      <c r="T1030">
        <v>55.816000000000003</v>
      </c>
      <c r="U1030">
        <v>7.13</v>
      </c>
      <c r="V1030">
        <v>69.249375999999998</v>
      </c>
      <c r="W1030">
        <v>3.5895549999999998</v>
      </c>
      <c r="X1030">
        <v>39.088830000000002</v>
      </c>
      <c r="Y1030">
        <v>54</v>
      </c>
      <c r="Z1030">
        <v>48.379995975891397</v>
      </c>
      <c r="AJ1030">
        <v>3.3683963119983673E-2</v>
      </c>
      <c r="AK1030">
        <v>0.4683137834072113</v>
      </c>
      <c r="AL1030">
        <v>9.2923775000000014E-2</v>
      </c>
      <c r="AM1030">
        <f>VLOOKUP(D1030,[1]Sheet1!$C$1:$D$191,2,FALSE)</f>
        <v>146</v>
      </c>
    </row>
    <row r="1031" spans="1:39" x14ac:dyDescent="0.35">
      <c r="A1031">
        <v>2017</v>
      </c>
      <c r="B1031" t="s">
        <v>149</v>
      </c>
      <c r="C1031">
        <v>146</v>
      </c>
      <c r="D1031" t="s">
        <v>327</v>
      </c>
      <c r="E1031">
        <v>47418</v>
      </c>
      <c r="F1031">
        <v>4830000</v>
      </c>
      <c r="G1031">
        <v>4877418</v>
      </c>
      <c r="H1031">
        <v>61667283244.483101</v>
      </c>
      <c r="I1031">
        <v>64327688800</v>
      </c>
      <c r="J1031">
        <v>5.7440594635578102E-2</v>
      </c>
      <c r="K1031">
        <v>15045.5456426827</v>
      </c>
      <c r="L1031">
        <v>3.9478815069701252E-2</v>
      </c>
      <c r="M1031">
        <v>14474.124363634901</v>
      </c>
      <c r="N1031">
        <v>0.87558591875987801</v>
      </c>
      <c r="O1031">
        <v>84.047537240293295</v>
      </c>
      <c r="P1031">
        <v>84.438010434819503</v>
      </c>
      <c r="Q1031">
        <v>13.941784454643701</v>
      </c>
      <c r="R1031">
        <v>4098707</v>
      </c>
      <c r="S1031">
        <v>1.7279601378575687E-2</v>
      </c>
      <c r="T1031">
        <v>54.915999999999997</v>
      </c>
      <c r="U1031">
        <v>7.08</v>
      </c>
      <c r="V1031">
        <v>70.475966</v>
      </c>
      <c r="W1031">
        <v>3.6673269999999998</v>
      </c>
      <c r="X1031">
        <v>40.144240000000003</v>
      </c>
      <c r="Y1031">
        <v>59.950600000000001</v>
      </c>
      <c r="AJ1031">
        <v>7.5527080334722996E-3</v>
      </c>
      <c r="AK1031">
        <v>0.42529579997062678</v>
      </c>
      <c r="AL1031">
        <v>7.761475000000001E-2</v>
      </c>
      <c r="AM1031">
        <f>VLOOKUP(D1031,[1]Sheet1!$C$1:$D$191,2,FALSE)</f>
        <v>146</v>
      </c>
    </row>
    <row r="1032" spans="1:39" x14ac:dyDescent="0.35">
      <c r="A1032">
        <v>2018</v>
      </c>
      <c r="B1032" t="s">
        <v>149</v>
      </c>
      <c r="C1032">
        <v>146</v>
      </c>
      <c r="D1032" t="s">
        <v>327</v>
      </c>
      <c r="E1032">
        <v>361164.28</v>
      </c>
      <c r="F1032">
        <v>3059400</v>
      </c>
      <c r="G1032">
        <v>3420564.2800000003</v>
      </c>
      <c r="H1032">
        <v>64083529548.794296</v>
      </c>
      <c r="I1032">
        <v>67316471200</v>
      </c>
      <c r="J1032">
        <v>3.9181980738990291E-2</v>
      </c>
      <c r="K1032">
        <v>15375.643507410099</v>
      </c>
      <c r="L1032">
        <v>2.1939906505679944E-2</v>
      </c>
      <c r="M1032">
        <v>15045.5456426827</v>
      </c>
      <c r="N1032">
        <v>0.761578359399944</v>
      </c>
      <c r="O1032">
        <v>86.130961511244493</v>
      </c>
      <c r="P1032">
        <v>83.951479936950903</v>
      </c>
      <c r="Q1032">
        <v>13.5920943066457</v>
      </c>
      <c r="R1032">
        <v>4167860</v>
      </c>
      <c r="S1032">
        <v>1.6871906188951784E-2</v>
      </c>
      <c r="T1032">
        <v>56.673999999999999</v>
      </c>
      <c r="U1032">
        <v>7.05</v>
      </c>
      <c r="V1032">
        <v>69.948869000000002</v>
      </c>
      <c r="W1032">
        <v>3.6972870000000002</v>
      </c>
      <c r="X1032">
        <v>42.705539999999999</v>
      </c>
      <c r="Y1032">
        <v>61.805500000000002</v>
      </c>
      <c r="AJ1032">
        <v>-0.15911237895488739</v>
      </c>
      <c r="AK1032">
        <v>0.38519319891929632</v>
      </c>
      <c r="AL1032">
        <v>7.6220549999999998E-2</v>
      </c>
      <c r="AM1032">
        <f>VLOOKUP(D1032,[1]Sheet1!$C$1:$D$191,2,FALSE)</f>
        <v>146</v>
      </c>
    </row>
    <row r="1033" spans="1:39" x14ac:dyDescent="0.35">
      <c r="A1033">
        <v>2019</v>
      </c>
      <c r="B1033" t="s">
        <v>149</v>
      </c>
      <c r="C1033">
        <v>146</v>
      </c>
      <c r="D1033" t="s">
        <v>327</v>
      </c>
      <c r="E1033">
        <v>3623</v>
      </c>
      <c r="F1033">
        <v>144200</v>
      </c>
      <c r="G1033">
        <v>147823</v>
      </c>
      <c r="H1033">
        <v>66072084974.632797</v>
      </c>
      <c r="I1033">
        <v>69778991200</v>
      </c>
      <c r="J1033">
        <v>3.1030678863035795E-2</v>
      </c>
      <c r="K1033">
        <v>15602.542086719901</v>
      </c>
      <c r="L1033">
        <v>1.4757013532503589E-2</v>
      </c>
      <c r="M1033">
        <v>15375.643507410099</v>
      </c>
      <c r="N1033">
        <v>-0.35508382102124503</v>
      </c>
      <c r="O1033">
        <v>80.428650564956897</v>
      </c>
      <c r="P1033">
        <v>83.326556745125899</v>
      </c>
      <c r="Q1033">
        <v>15.0372968929585</v>
      </c>
      <c r="R1033">
        <v>4234700</v>
      </c>
      <c r="S1033">
        <v>1.6037007001194859E-2</v>
      </c>
      <c r="T1033">
        <v>58.127000000000002</v>
      </c>
      <c r="U1033">
        <v>7.05</v>
      </c>
      <c r="V1033">
        <v>73.650468000000004</v>
      </c>
      <c r="W1033">
        <v>3.7303489999999999</v>
      </c>
      <c r="X1033">
        <v>43.121310000000001</v>
      </c>
      <c r="Y1033">
        <v>63.628399999999999</v>
      </c>
      <c r="AJ1033">
        <v>-0.19189891219139099</v>
      </c>
      <c r="AK1033">
        <v>0.38099402189254761</v>
      </c>
      <c r="AL1033">
        <v>9.2684649999999993E-2</v>
      </c>
      <c r="AM1033">
        <f>VLOOKUP(D1033,[1]Sheet1!$C$1:$D$191,2,FALSE)</f>
        <v>146</v>
      </c>
    </row>
    <row r="1034" spans="1:39" x14ac:dyDescent="0.35">
      <c r="A1034">
        <v>2020</v>
      </c>
      <c r="B1034" t="s">
        <v>149</v>
      </c>
      <c r="C1034">
        <v>146</v>
      </c>
      <c r="D1034" t="s">
        <v>327</v>
      </c>
      <c r="E1034">
        <v>45870.190849999999</v>
      </c>
      <c r="F1034">
        <v>181900</v>
      </c>
      <c r="G1034">
        <v>227770.19085000001</v>
      </c>
      <c r="H1034">
        <v>54297226765.659599</v>
      </c>
      <c r="I1034">
        <v>57059846500</v>
      </c>
      <c r="J1034">
        <v>-0.17821229969500654</v>
      </c>
      <c r="K1034">
        <v>12647.082664124</v>
      </c>
      <c r="L1034">
        <v>-0.18942166001983993</v>
      </c>
      <c r="M1034">
        <v>15602.542086719901</v>
      </c>
      <c r="N1034">
        <v>-1.5502754080376</v>
      </c>
      <c r="O1034">
        <v>68.700423510603002</v>
      </c>
      <c r="P1034">
        <v>100.153891550374</v>
      </c>
      <c r="Q1034">
        <v>19.268914385319999</v>
      </c>
      <c r="R1034">
        <v>4293261</v>
      </c>
      <c r="S1034">
        <v>1.3828842657094954E-2</v>
      </c>
      <c r="T1034">
        <v>53.015999999999998</v>
      </c>
      <c r="U1034">
        <v>7.18</v>
      </c>
      <c r="V1034">
        <v>72.67671</v>
      </c>
      <c r="W1034">
        <v>3.348792</v>
      </c>
      <c r="X1034">
        <v>44.974769999999999</v>
      </c>
      <c r="Y1034">
        <v>70.009699999999995</v>
      </c>
      <c r="Z1034">
        <v>44.937294864628598</v>
      </c>
      <c r="AJ1034">
        <v>-0.28495502471923828</v>
      </c>
      <c r="AK1034">
        <v>0.32271137833595281</v>
      </c>
      <c r="AL1034">
        <v>4.7201399999999998E-2</v>
      </c>
      <c r="AM1034">
        <f>VLOOKUP(D1034,[1]Sheet1!$C$1:$D$191,2,FALSE)</f>
        <v>146</v>
      </c>
    </row>
    <row r="1035" spans="1:39" x14ac:dyDescent="0.35">
      <c r="A1035">
        <v>2015</v>
      </c>
      <c r="B1035" t="s">
        <v>150</v>
      </c>
      <c r="C1035">
        <v>147</v>
      </c>
      <c r="D1035" t="s">
        <v>328</v>
      </c>
      <c r="E1035">
        <v>898200.30784499878</v>
      </c>
      <c r="F1035">
        <v>6660366</v>
      </c>
      <c r="G1035">
        <v>7558566.3078449983</v>
      </c>
      <c r="H1035">
        <v>1363482182197.71</v>
      </c>
      <c r="I1035">
        <v>1363482182197.71</v>
      </c>
      <c r="J1035">
        <v>-1.972719225803557E-2</v>
      </c>
      <c r="K1035">
        <v>9277.7138671875</v>
      </c>
      <c r="L1035">
        <v>-2.2762049789007314E-2</v>
      </c>
      <c r="M1035">
        <v>9493.8125</v>
      </c>
      <c r="N1035">
        <v>15.534405052840301</v>
      </c>
      <c r="O1035">
        <v>49.359349311688703</v>
      </c>
      <c r="P1035">
        <v>55.952022689360803</v>
      </c>
      <c r="Q1035">
        <v>30.647650515882798</v>
      </c>
      <c r="R1035">
        <v>144640716</v>
      </c>
      <c r="S1035">
        <v>2.7974262926567851E-3</v>
      </c>
      <c r="T1035">
        <v>29.341000000000001</v>
      </c>
      <c r="U1035">
        <v>3.31</v>
      </c>
      <c r="V1035">
        <v>172.73886999999999</v>
      </c>
      <c r="W1035">
        <v>3.0645069999999999</v>
      </c>
      <c r="X1035">
        <v>54.894550000000002</v>
      </c>
      <c r="Y1035">
        <v>70.099199999999996</v>
      </c>
      <c r="Z1035">
        <v>84.235565124025598</v>
      </c>
      <c r="AA1035">
        <v>2020</v>
      </c>
      <c r="AB1035">
        <v>2021</v>
      </c>
      <c r="AC1035">
        <v>0</v>
      </c>
      <c r="AD1035">
        <v>0</v>
      </c>
      <c r="AE1035">
        <v>1</v>
      </c>
      <c r="AF1035">
        <v>0</v>
      </c>
      <c r="AJ1035">
        <v>-0.81513118743896484</v>
      </c>
      <c r="AK1035">
        <v>-0.5800788402557373</v>
      </c>
      <c r="AL1035">
        <v>9.9543875000000004E-2</v>
      </c>
      <c r="AM1035">
        <f>VLOOKUP(D1035,[1]Sheet1!$C$1:$D$191,2,FALSE)</f>
        <v>147</v>
      </c>
    </row>
    <row r="1036" spans="1:39" x14ac:dyDescent="0.35">
      <c r="A1036">
        <v>2016</v>
      </c>
      <c r="B1036" t="s">
        <v>150</v>
      </c>
      <c r="C1036">
        <v>147</v>
      </c>
      <c r="D1036" t="s">
        <v>328</v>
      </c>
      <c r="E1036">
        <v>4415298.413194011</v>
      </c>
      <c r="F1036">
        <v>859614.94665000006</v>
      </c>
      <c r="G1036">
        <v>5274913.3598440113</v>
      </c>
      <c r="H1036">
        <v>1366123111808.03</v>
      </c>
      <c r="I1036">
        <v>1276786350881.1399</v>
      </c>
      <c r="J1036">
        <v>1.9369007126028757E-3</v>
      </c>
      <c r="K1036">
        <v>9269.3193359375</v>
      </c>
      <c r="L1036">
        <v>-9.0480600826556496E-4</v>
      </c>
      <c r="M1036">
        <v>9277.7138671875</v>
      </c>
      <c r="N1036">
        <v>7.0424476295479899</v>
      </c>
      <c r="O1036">
        <v>46.518119839609597</v>
      </c>
      <c r="P1036">
        <v>53.1024738337766</v>
      </c>
      <c r="Q1036">
        <v>31.028446752421601</v>
      </c>
      <c r="R1036">
        <v>145015460</v>
      </c>
      <c r="S1036">
        <v>2.5908610684698213E-3</v>
      </c>
      <c r="T1036">
        <v>29.074000000000002</v>
      </c>
      <c r="U1036">
        <v>3.24</v>
      </c>
      <c r="V1036">
        <v>168.74664999999999</v>
      </c>
      <c r="W1036">
        <v>4.9029870000000004</v>
      </c>
      <c r="X1036">
        <v>52.889609999999998</v>
      </c>
      <c r="Y1036">
        <v>73.091399999999993</v>
      </c>
      <c r="Z1036">
        <v>83.860044350614004</v>
      </c>
      <c r="AA1036">
        <v>2020</v>
      </c>
      <c r="AB1036">
        <v>2021</v>
      </c>
      <c r="AC1036">
        <v>0</v>
      </c>
      <c r="AD1036">
        <v>0</v>
      </c>
      <c r="AE1036">
        <v>1</v>
      </c>
      <c r="AF1036">
        <v>0</v>
      </c>
      <c r="AJ1036">
        <v>-0.84505409002304077</v>
      </c>
      <c r="AK1036">
        <v>-0.44319504499435419</v>
      </c>
      <c r="AL1036">
        <v>0.12735655000000001</v>
      </c>
      <c r="AM1036">
        <f>VLOOKUP(D1036,[1]Sheet1!$C$1:$D$191,2,FALSE)</f>
        <v>147</v>
      </c>
    </row>
    <row r="1037" spans="1:39" x14ac:dyDescent="0.35">
      <c r="A1037">
        <v>2017</v>
      </c>
      <c r="B1037" t="s">
        <v>150</v>
      </c>
      <c r="C1037">
        <v>147</v>
      </c>
      <c r="D1037" t="s">
        <v>328</v>
      </c>
      <c r="E1037">
        <v>1967803.4660901511</v>
      </c>
      <c r="F1037">
        <v>30165089.093320001</v>
      </c>
      <c r="G1037">
        <v>32132892.559410147</v>
      </c>
      <c r="H1037">
        <v>1391065651845.6799</v>
      </c>
      <c r="I1037">
        <v>1574199360089</v>
      </c>
      <c r="J1037">
        <v>1.8257900640183938E-2</v>
      </c>
      <c r="K1037">
        <v>9418.9140625</v>
      </c>
      <c r="L1037">
        <v>1.6138695964709685E-2</v>
      </c>
      <c r="M1037">
        <v>9269.3193359375</v>
      </c>
      <c r="N1037">
        <v>3.6833294441223301</v>
      </c>
      <c r="O1037">
        <v>46.876524337131102</v>
      </c>
      <c r="P1037">
        <v>52.076597505313401</v>
      </c>
      <c r="Q1037">
        <v>30.710305172293701</v>
      </c>
      <c r="R1037">
        <v>145293260</v>
      </c>
      <c r="S1037">
        <v>1.9156578202075834E-3</v>
      </c>
      <c r="T1037">
        <v>21.433</v>
      </c>
      <c r="U1037">
        <v>3.17</v>
      </c>
      <c r="V1037">
        <v>164.03981999999999</v>
      </c>
      <c r="W1037">
        <v>4.8340540000000001</v>
      </c>
      <c r="X1037">
        <v>56.39226</v>
      </c>
      <c r="Y1037">
        <v>76.008099999999999</v>
      </c>
      <c r="Z1037">
        <v>81.705102168141806</v>
      </c>
      <c r="AA1037">
        <v>2020</v>
      </c>
      <c r="AB1037">
        <v>2021</v>
      </c>
      <c r="AC1037">
        <v>0</v>
      </c>
      <c r="AD1037">
        <v>0</v>
      </c>
      <c r="AE1037">
        <v>1</v>
      </c>
      <c r="AF1037">
        <v>0</v>
      </c>
      <c r="AJ1037">
        <v>-0.84592956304550171</v>
      </c>
      <c r="AK1037">
        <v>-0.52699160575866699</v>
      </c>
      <c r="AL1037">
        <v>8.6310625000000002E-2</v>
      </c>
      <c r="AM1037">
        <f>VLOOKUP(D1037,[1]Sheet1!$C$1:$D$191,2,FALSE)</f>
        <v>147</v>
      </c>
    </row>
    <row r="1038" spans="1:39" x14ac:dyDescent="0.35">
      <c r="A1038">
        <v>2018</v>
      </c>
      <c r="B1038" t="s">
        <v>150</v>
      </c>
      <c r="C1038">
        <v>147</v>
      </c>
      <c r="D1038" t="s">
        <v>328</v>
      </c>
      <c r="E1038">
        <v>1901764.155908</v>
      </c>
      <c r="F1038">
        <v>116357174.77320001</v>
      </c>
      <c r="G1038">
        <v>118258938.92910801</v>
      </c>
      <c r="H1038">
        <v>1430116278515.49</v>
      </c>
      <c r="I1038">
        <v>1657328773461.3101</v>
      </c>
      <c r="J1038">
        <v>2.8072454105956317E-2</v>
      </c>
      <c r="K1038">
        <v>9674.787109375</v>
      </c>
      <c r="L1038">
        <v>2.7165875511458409E-2</v>
      </c>
      <c r="M1038">
        <v>9418.9140625</v>
      </c>
      <c r="N1038">
        <v>2.8782972364788399</v>
      </c>
      <c r="O1038">
        <v>51.5809003703964</v>
      </c>
      <c r="P1038">
        <v>51.243310671787597</v>
      </c>
      <c r="Q1038">
        <v>28.944147842756301</v>
      </c>
      <c r="R1038">
        <v>145398106</v>
      </c>
      <c r="S1038">
        <v>7.2161640533084605E-4</v>
      </c>
      <c r="T1038">
        <v>21.745999999999999</v>
      </c>
      <c r="U1038">
        <v>2.94</v>
      </c>
      <c r="V1038">
        <v>161.11086</v>
      </c>
      <c r="W1038">
        <v>4.438377</v>
      </c>
      <c r="X1038">
        <v>59.420409999999997</v>
      </c>
      <c r="Y1038">
        <v>80.864699999999999</v>
      </c>
      <c r="Z1038">
        <v>81.568111599852301</v>
      </c>
      <c r="AA1038">
        <v>2020</v>
      </c>
      <c r="AB1038">
        <v>2021</v>
      </c>
      <c r="AC1038">
        <v>0</v>
      </c>
      <c r="AD1038">
        <v>0</v>
      </c>
      <c r="AE1038">
        <v>1</v>
      </c>
      <c r="AF1038">
        <v>0</v>
      </c>
      <c r="AI1038">
        <v>1</v>
      </c>
      <c r="AJ1038">
        <v>-0.83272141218185425</v>
      </c>
      <c r="AK1038">
        <v>-0.56271237134933472</v>
      </c>
      <c r="AL1038">
        <v>0.102491675</v>
      </c>
      <c r="AM1038">
        <f>VLOOKUP(D1038,[1]Sheet1!$C$1:$D$191,2,FALSE)</f>
        <v>147</v>
      </c>
    </row>
    <row r="1039" spans="1:39" x14ac:dyDescent="0.35">
      <c r="A1039">
        <v>2019</v>
      </c>
      <c r="B1039" t="s">
        <v>150</v>
      </c>
      <c r="C1039">
        <v>147</v>
      </c>
      <c r="D1039" t="s">
        <v>328</v>
      </c>
      <c r="E1039">
        <v>4142569.95633878</v>
      </c>
      <c r="F1039">
        <v>309138620.95153731</v>
      </c>
      <c r="G1039">
        <v>313281190.90787613</v>
      </c>
      <c r="H1039">
        <v>1461551317106.21</v>
      </c>
      <c r="I1039">
        <v>1693115002708.3201</v>
      </c>
      <c r="J1039">
        <v>2.1980757133504294E-2</v>
      </c>
      <c r="K1039">
        <v>9882.0244140625</v>
      </c>
      <c r="L1039">
        <v>2.1420347791083098E-2</v>
      </c>
      <c r="M1039">
        <v>9674.787109375</v>
      </c>
      <c r="N1039">
        <v>4.4703666076017301</v>
      </c>
      <c r="O1039">
        <v>49.228753661903298</v>
      </c>
      <c r="P1039">
        <v>52.561428924634399</v>
      </c>
      <c r="Q1039">
        <v>29.6140297769421</v>
      </c>
      <c r="R1039">
        <v>145453291</v>
      </c>
      <c r="S1039">
        <v>3.7954414619403637E-4</v>
      </c>
      <c r="T1039">
        <v>21.86</v>
      </c>
      <c r="U1039">
        <v>3.11</v>
      </c>
      <c r="V1039">
        <v>165.45813999999999</v>
      </c>
      <c r="W1039">
        <v>4.5853599999999997</v>
      </c>
      <c r="X1039">
        <v>58.109270000000002</v>
      </c>
      <c r="Y1039">
        <v>82.642200000000003</v>
      </c>
      <c r="Z1039">
        <v>80.952069747109107</v>
      </c>
      <c r="AA1039">
        <v>2020</v>
      </c>
      <c r="AB1039">
        <v>2021</v>
      </c>
      <c r="AC1039">
        <v>0</v>
      </c>
      <c r="AD1039">
        <v>0</v>
      </c>
      <c r="AE1039">
        <v>1</v>
      </c>
      <c r="AF1039">
        <v>0</v>
      </c>
      <c r="AI1039">
        <v>1</v>
      </c>
      <c r="AJ1039">
        <v>-0.7712438702583313</v>
      </c>
      <c r="AK1039">
        <v>-0.47659721970558172</v>
      </c>
      <c r="AL1039">
        <v>0.108069075</v>
      </c>
      <c r="AM1039">
        <f>VLOOKUP(D1039,[1]Sheet1!$C$1:$D$191,2,FALSE)</f>
        <v>147</v>
      </c>
    </row>
    <row r="1040" spans="1:39" x14ac:dyDescent="0.35">
      <c r="A1040">
        <v>2020</v>
      </c>
      <c r="B1040" t="s">
        <v>150</v>
      </c>
      <c r="C1040">
        <v>147</v>
      </c>
      <c r="D1040" t="s">
        <v>328</v>
      </c>
      <c r="E1040">
        <v>6040409.9848939003</v>
      </c>
      <c r="F1040">
        <v>233223926.32124639</v>
      </c>
      <c r="G1040">
        <v>239264336.30614024</v>
      </c>
      <c r="H1040">
        <v>1422766794794.99</v>
      </c>
      <c r="I1040">
        <v>1493075894362.1399</v>
      </c>
      <c r="J1040">
        <v>-2.6536545010277957E-2</v>
      </c>
      <c r="K1040">
        <v>9632.3251953125</v>
      </c>
      <c r="L1040">
        <v>-2.5268022855182228E-2</v>
      </c>
      <c r="M1040">
        <v>9882.0244140625</v>
      </c>
      <c r="N1040">
        <v>3.3816593723789801</v>
      </c>
      <c r="O1040">
        <v>45.966908202912698</v>
      </c>
      <c r="P1040">
        <v>59.583626499074398</v>
      </c>
      <c r="Q1040">
        <v>35.2998185923772</v>
      </c>
      <c r="R1040">
        <v>145245148</v>
      </c>
      <c r="S1040">
        <v>-1.4309954664415258E-3</v>
      </c>
      <c r="T1040">
        <v>21.808</v>
      </c>
      <c r="U1040">
        <v>3.31</v>
      </c>
      <c r="V1040">
        <v>164.93414999999999</v>
      </c>
      <c r="W1040">
        <v>3.962399</v>
      </c>
      <c r="X1040">
        <v>59.337339999999998</v>
      </c>
      <c r="Y1040">
        <v>84.994699999999995</v>
      </c>
      <c r="Z1040">
        <v>57.223285473975402</v>
      </c>
      <c r="AA1040">
        <v>2020</v>
      </c>
      <c r="AB1040">
        <v>2021</v>
      </c>
      <c r="AC1040">
        <v>1</v>
      </c>
      <c r="AD1040">
        <v>0</v>
      </c>
      <c r="AE1040">
        <v>1</v>
      </c>
      <c r="AF1040">
        <v>0</v>
      </c>
      <c r="AG1040">
        <v>0</v>
      </c>
      <c r="AI1040">
        <v>1</v>
      </c>
      <c r="AJ1040">
        <v>-0.80521035194396973</v>
      </c>
      <c r="AK1040">
        <v>-0.48384702205657959</v>
      </c>
      <c r="AL1040">
        <v>6.6513375E-2</v>
      </c>
      <c r="AM1040">
        <f>VLOOKUP(D1040,[1]Sheet1!$C$1:$D$191,2,FALSE)</f>
        <v>147</v>
      </c>
    </row>
    <row r="1041" spans="1:39" x14ac:dyDescent="0.35">
      <c r="A1041">
        <v>2015</v>
      </c>
      <c r="B1041" t="s">
        <v>151</v>
      </c>
      <c r="C1041">
        <v>148</v>
      </c>
      <c r="D1041" t="s">
        <v>329</v>
      </c>
      <c r="E1041">
        <v>147261.802321</v>
      </c>
      <c r="G1041">
        <v>147261.802321</v>
      </c>
      <c r="H1041">
        <v>41297410634.958603</v>
      </c>
      <c r="I1041">
        <v>41297410634.958603</v>
      </c>
      <c r="J1041">
        <v>1.2957385118974703E-2</v>
      </c>
      <c r="K1041">
        <v>5820.3215576887997</v>
      </c>
      <c r="L1041">
        <v>1.815452537875727E-2</v>
      </c>
      <c r="M1041">
        <v>5716.5404784932998</v>
      </c>
      <c r="N1041">
        <v>1.39235822000187</v>
      </c>
      <c r="O1041">
        <v>93.528147766323698</v>
      </c>
      <c r="P1041">
        <v>39.029124804909998</v>
      </c>
      <c r="Q1041">
        <v>39.0527737026285</v>
      </c>
      <c r="R1041">
        <v>7095383</v>
      </c>
      <c r="S1041">
        <v>-5.104471011262675E-3</v>
      </c>
      <c r="T1041">
        <v>30.893999999999998</v>
      </c>
      <c r="U1041">
        <v>6.71</v>
      </c>
      <c r="V1041">
        <v>32.825068999999999</v>
      </c>
      <c r="W1041">
        <v>4.9577429999999998</v>
      </c>
      <c r="X1041">
        <v>50.545589999999997</v>
      </c>
      <c r="Y1041">
        <v>65.316999999999993</v>
      </c>
      <c r="Z1041">
        <v>58.287689208984403</v>
      </c>
      <c r="AJ1041">
        <v>-7.5776860117912292E-2</v>
      </c>
      <c r="AK1041">
        <v>0.13626281917095179</v>
      </c>
      <c r="AM1041">
        <f>VLOOKUP(D1041,[1]Sheet1!$C$1:$D$191,2,FALSE)</f>
        <v>148</v>
      </c>
    </row>
    <row r="1042" spans="1:39" x14ac:dyDescent="0.35">
      <c r="A1042">
        <v>2016</v>
      </c>
      <c r="B1042" t="s">
        <v>151</v>
      </c>
      <c r="C1042">
        <v>148</v>
      </c>
      <c r="D1042" t="s">
        <v>329</v>
      </c>
      <c r="E1042">
        <v>136427.03488390619</v>
      </c>
      <c r="G1042">
        <v>136427.03488390622</v>
      </c>
      <c r="H1042">
        <v>42526090284.372398</v>
      </c>
      <c r="I1042">
        <v>42225495909.563301</v>
      </c>
      <c r="J1042">
        <v>2.9751977921194602E-2</v>
      </c>
      <c r="K1042">
        <v>6024.9575301852701</v>
      </c>
      <c r="L1042">
        <v>3.5158877472352176E-2</v>
      </c>
      <c r="M1042">
        <v>5820.3215576887997</v>
      </c>
      <c r="N1042">
        <v>1.12231397417769</v>
      </c>
      <c r="O1042">
        <v>97.6906940431804</v>
      </c>
      <c r="P1042">
        <v>39.403843871739497</v>
      </c>
      <c r="Q1042">
        <v>37.790596672882401</v>
      </c>
      <c r="R1042">
        <v>7058322</v>
      </c>
      <c r="S1042">
        <v>-5.2232557425018495E-3</v>
      </c>
      <c r="T1042">
        <v>33.457999999999998</v>
      </c>
      <c r="U1042">
        <v>6.57</v>
      </c>
      <c r="V1042">
        <v>35.136699</v>
      </c>
      <c r="W1042">
        <v>5.0764769999999997</v>
      </c>
      <c r="X1042">
        <v>46.775440000000003</v>
      </c>
      <c r="Y1042">
        <v>67.056799999999996</v>
      </c>
      <c r="Z1042">
        <v>62.136970520019503</v>
      </c>
      <c r="AJ1042">
        <v>-0.12701757252216339</v>
      </c>
      <c r="AK1042">
        <v>2.493123896420002E-2</v>
      </c>
      <c r="AM1042">
        <f>VLOOKUP(D1042,[1]Sheet1!$C$1:$D$191,2,FALSE)</f>
        <v>148</v>
      </c>
    </row>
    <row r="1043" spans="1:39" x14ac:dyDescent="0.35">
      <c r="A1043">
        <v>2017</v>
      </c>
      <c r="B1043" t="s">
        <v>151</v>
      </c>
      <c r="C1043">
        <v>148</v>
      </c>
      <c r="D1043" t="s">
        <v>329</v>
      </c>
      <c r="E1043">
        <v>404458.82896363077</v>
      </c>
      <c r="G1043">
        <v>404458.82896363083</v>
      </c>
      <c r="H1043">
        <v>43531149259.968697</v>
      </c>
      <c r="I1043">
        <v>45972834713.807701</v>
      </c>
      <c r="J1043">
        <v>2.3633937869093034E-2</v>
      </c>
      <c r="K1043">
        <v>6200.26060347164</v>
      </c>
      <c r="L1043">
        <v>2.9096150870457547E-2</v>
      </c>
      <c r="M1043">
        <v>6024.9575301852701</v>
      </c>
      <c r="N1043">
        <v>3.13106248590115</v>
      </c>
      <c r="O1043">
        <v>102.74044516693399</v>
      </c>
      <c r="P1043">
        <v>38.713344006772097</v>
      </c>
      <c r="Q1043">
        <v>36.141038301107102</v>
      </c>
      <c r="R1043">
        <v>7020858</v>
      </c>
      <c r="S1043">
        <v>-5.3077771175642028E-3</v>
      </c>
      <c r="T1043">
        <v>33.238999999999997</v>
      </c>
      <c r="U1043">
        <v>6.41</v>
      </c>
      <c r="V1043">
        <v>30.676634</v>
      </c>
      <c r="W1043">
        <v>4.4844520000000001</v>
      </c>
      <c r="X1043">
        <v>45.380580000000002</v>
      </c>
      <c r="Y1043">
        <v>70.330799999999996</v>
      </c>
      <c r="Z1043">
        <v>66.486740112304702</v>
      </c>
      <c r="AJ1043">
        <v>-0.1797265559434891</v>
      </c>
      <c r="AK1043">
        <v>-4.6661455184221268E-2</v>
      </c>
      <c r="AM1043">
        <f>VLOOKUP(D1043,[1]Sheet1!$C$1:$D$191,2,FALSE)</f>
        <v>148</v>
      </c>
    </row>
    <row r="1044" spans="1:39" x14ac:dyDescent="0.35">
      <c r="A1044">
        <v>2018</v>
      </c>
      <c r="B1044" t="s">
        <v>151</v>
      </c>
      <c r="C1044">
        <v>148</v>
      </c>
      <c r="D1044" t="s">
        <v>329</v>
      </c>
      <c r="E1044">
        <v>162248.62700000001</v>
      </c>
      <c r="G1044">
        <v>162248.62700000001</v>
      </c>
      <c r="H1044">
        <v>45555064902.583397</v>
      </c>
      <c r="I1044">
        <v>52787520248.924202</v>
      </c>
      <c r="J1044">
        <v>4.6493503549098709E-2</v>
      </c>
      <c r="K1044">
        <v>6524.0796846825997</v>
      </c>
      <c r="L1044">
        <v>5.2226688831377086E-2</v>
      </c>
      <c r="M1044">
        <v>6200.26060347164</v>
      </c>
      <c r="N1044">
        <v>1.9598407629380099</v>
      </c>
      <c r="O1044">
        <v>105.56371302855899</v>
      </c>
      <c r="P1044">
        <v>39.720977774217502</v>
      </c>
      <c r="Q1044">
        <v>35.192366782338098</v>
      </c>
      <c r="R1044">
        <v>6982604</v>
      </c>
      <c r="S1044">
        <v>-5.4486218066224952E-3</v>
      </c>
      <c r="T1044">
        <v>32.908999999999999</v>
      </c>
      <c r="U1044">
        <v>6.41</v>
      </c>
      <c r="V1044">
        <v>31.545681999999999</v>
      </c>
      <c r="W1044">
        <v>4.0385280000000003</v>
      </c>
      <c r="X1044">
        <v>45.283790000000003</v>
      </c>
      <c r="Y1044">
        <v>73.360699999999994</v>
      </c>
      <c r="Z1044">
        <v>67.158660888671903</v>
      </c>
      <c r="AJ1044">
        <v>-0.17032261192798609</v>
      </c>
      <c r="AK1044">
        <v>9.9695771932601929E-2</v>
      </c>
      <c r="AM1044">
        <f>VLOOKUP(D1044,[1]Sheet1!$C$1:$D$191,2,FALSE)</f>
        <v>148</v>
      </c>
    </row>
    <row r="1045" spans="1:39" x14ac:dyDescent="0.35">
      <c r="A1045">
        <v>2019</v>
      </c>
      <c r="B1045" t="s">
        <v>151</v>
      </c>
      <c r="C1045">
        <v>148</v>
      </c>
      <c r="D1045" t="s">
        <v>329</v>
      </c>
      <c r="E1045">
        <v>68898.470971119998</v>
      </c>
      <c r="G1045">
        <v>68898.470971119998</v>
      </c>
      <c r="H1045">
        <v>47719025212.198097</v>
      </c>
      <c r="I1045">
        <v>53864693664.556801</v>
      </c>
      <c r="J1045">
        <v>4.7502079389903001E-2</v>
      </c>
      <c r="K1045">
        <v>6870.7574635268702</v>
      </c>
      <c r="L1045">
        <v>5.3138188924670773E-2</v>
      </c>
      <c r="M1045">
        <v>6524.0796846825997</v>
      </c>
      <c r="N1045">
        <v>1.84922984511086</v>
      </c>
      <c r="O1045">
        <v>107.577309546092</v>
      </c>
      <c r="P1045">
        <v>40.166571833181301</v>
      </c>
      <c r="Q1045">
        <v>35.742587631728</v>
      </c>
      <c r="R1045">
        <v>6945235</v>
      </c>
      <c r="S1045">
        <v>-5.3517283809879522E-3</v>
      </c>
      <c r="T1045">
        <v>33.887</v>
      </c>
      <c r="U1045">
        <v>6.41</v>
      </c>
      <c r="V1045">
        <v>31.701481999999999</v>
      </c>
      <c r="W1045">
        <v>3.8024149999999999</v>
      </c>
      <c r="X1045">
        <v>45.070880000000002</v>
      </c>
      <c r="Y1045">
        <v>77.416799999999995</v>
      </c>
      <c r="Z1045">
        <v>67.789840698242202</v>
      </c>
      <c r="AJ1045">
        <v>-0.14385189116001129</v>
      </c>
      <c r="AK1045">
        <v>9.7264789044857025E-2</v>
      </c>
      <c r="AM1045">
        <f>VLOOKUP(D1045,[1]Sheet1!$C$1:$D$191,2,FALSE)</f>
        <v>148</v>
      </c>
    </row>
    <row r="1046" spans="1:39" x14ac:dyDescent="0.35">
      <c r="A1046">
        <v>2020</v>
      </c>
      <c r="B1046" t="s">
        <v>151</v>
      </c>
      <c r="C1046">
        <v>148</v>
      </c>
      <c r="D1046" t="s">
        <v>329</v>
      </c>
      <c r="E1046">
        <v>180503.32600815999</v>
      </c>
      <c r="G1046">
        <v>180503.32600816002</v>
      </c>
      <c r="H1046">
        <v>47265683024.004501</v>
      </c>
      <c r="I1046">
        <v>55874017668.998001</v>
      </c>
      <c r="J1046">
        <v>-9.5002399185160017E-3</v>
      </c>
      <c r="K1046">
        <v>6850.9667781113803</v>
      </c>
      <c r="L1046">
        <v>-2.8804226492563432E-3</v>
      </c>
      <c r="M1046">
        <v>6870.7574635268702</v>
      </c>
      <c r="N1046">
        <v>1.5755329008341501</v>
      </c>
      <c r="O1046">
        <v>100.324460810129</v>
      </c>
      <c r="P1046">
        <v>43.4490578103864</v>
      </c>
      <c r="Q1046">
        <v>42.5376524683873</v>
      </c>
      <c r="R1046">
        <v>6899126</v>
      </c>
      <c r="S1046">
        <v>-6.638940223045009E-3</v>
      </c>
      <c r="T1046">
        <v>32.369999999999997</v>
      </c>
      <c r="U1046">
        <v>6.22</v>
      </c>
      <c r="V1046">
        <v>31.646528</v>
      </c>
      <c r="W1046">
        <v>3.6553369999999998</v>
      </c>
      <c r="X1046">
        <v>44.267969999999998</v>
      </c>
      <c r="Y1046">
        <v>78.367999999999995</v>
      </c>
      <c r="Z1046">
        <v>68.143112182617202</v>
      </c>
      <c r="AI1046">
        <v>1</v>
      </c>
      <c r="AJ1046">
        <v>-0.1230056062340736</v>
      </c>
      <c r="AK1046">
        <v>8.0396354198455811E-2</v>
      </c>
      <c r="AM1046">
        <f>VLOOKUP(D1046,[1]Sheet1!$C$1:$D$191,2,FALSE)</f>
        <v>148</v>
      </c>
    </row>
    <row r="1047" spans="1:39" x14ac:dyDescent="0.35">
      <c r="A1047">
        <v>2015</v>
      </c>
      <c r="B1047" t="s">
        <v>152</v>
      </c>
      <c r="C1047">
        <v>149</v>
      </c>
      <c r="D1047" t="s">
        <v>330</v>
      </c>
      <c r="E1047">
        <v>1816399.4746659889</v>
      </c>
      <c r="F1047">
        <v>11100.61</v>
      </c>
      <c r="G1047">
        <v>1827500.0846659893</v>
      </c>
      <c r="H1047">
        <v>42709468274.813698</v>
      </c>
      <c r="I1047">
        <v>42709468274.813698</v>
      </c>
      <c r="J1047">
        <v>2.3933087243609708E-2</v>
      </c>
      <c r="K1047">
        <v>20697.274853061899</v>
      </c>
      <c r="L1047">
        <v>2.3163474275200723E-2</v>
      </c>
      <c r="M1047">
        <v>20228.707702572799</v>
      </c>
      <c r="N1047">
        <v>-0.52555228582087699</v>
      </c>
      <c r="O1047">
        <v>147.21836771450299</v>
      </c>
      <c r="P1047">
        <v>50.343832479808299</v>
      </c>
      <c r="Q1047">
        <v>43.447190100891603</v>
      </c>
      <c r="R1047">
        <v>2063531</v>
      </c>
      <c r="S1047">
        <v>7.5218964296452928E-4</v>
      </c>
      <c r="T1047">
        <v>29.175999999999998</v>
      </c>
      <c r="U1047">
        <v>7.57</v>
      </c>
      <c r="V1047">
        <v>36.769120999999998</v>
      </c>
      <c r="W1047">
        <v>2.0989650000000002</v>
      </c>
      <c r="X1047">
        <v>54.524970000000003</v>
      </c>
      <c r="Y1047">
        <v>73.098699999999994</v>
      </c>
      <c r="Z1047">
        <v>82.199783325195298</v>
      </c>
      <c r="AA1047">
        <v>2018</v>
      </c>
      <c r="AB1047">
        <v>2019</v>
      </c>
      <c r="AC1047">
        <v>0</v>
      </c>
      <c r="AD1047">
        <v>0</v>
      </c>
      <c r="AE1047">
        <v>1</v>
      </c>
      <c r="AF1047">
        <v>1</v>
      </c>
      <c r="AJ1047">
        <v>0.94575625658035278</v>
      </c>
      <c r="AK1047">
        <v>0.60988098382949829</v>
      </c>
      <c r="AL1047">
        <v>8.5127874999999992E-2</v>
      </c>
      <c r="AM1047">
        <f>VLOOKUP(D1047,[1]Sheet1!$C$1:$D$191,2,FALSE)</f>
        <v>149</v>
      </c>
    </row>
    <row r="1048" spans="1:39" x14ac:dyDescent="0.35">
      <c r="A1048">
        <v>2016</v>
      </c>
      <c r="B1048" t="s">
        <v>152</v>
      </c>
      <c r="C1048">
        <v>149</v>
      </c>
      <c r="D1048" t="s">
        <v>330</v>
      </c>
      <c r="E1048">
        <v>1925256.123155785</v>
      </c>
      <c r="F1048">
        <v>3319938</v>
      </c>
      <c r="G1048">
        <v>5245194.1231557857</v>
      </c>
      <c r="H1048">
        <v>44005450339.888702</v>
      </c>
      <c r="I1048">
        <v>44290685824.068199</v>
      </c>
      <c r="J1048">
        <v>3.0344139541518506E-2</v>
      </c>
      <c r="K1048">
        <v>21309.7120251737</v>
      </c>
      <c r="L1048">
        <v>2.9590232359561007E-2</v>
      </c>
      <c r="M1048">
        <v>20697.274853061899</v>
      </c>
      <c r="N1048">
        <v>-5.4999541670474002E-2</v>
      </c>
      <c r="O1048">
        <v>148.238448080388</v>
      </c>
      <c r="P1048">
        <v>47.142321069158399</v>
      </c>
      <c r="Q1048">
        <v>41.646968353282801</v>
      </c>
      <c r="R1048">
        <v>2065042</v>
      </c>
      <c r="S1048">
        <v>7.3224002934775393E-4</v>
      </c>
      <c r="T1048">
        <v>26.475000000000001</v>
      </c>
      <c r="U1048">
        <v>7.51</v>
      </c>
      <c r="V1048">
        <v>36.418931999999998</v>
      </c>
      <c r="W1048">
        <v>2.0728749999999998</v>
      </c>
      <c r="X1048">
        <v>57.94023</v>
      </c>
      <c r="Y1048">
        <v>75.498500000000007</v>
      </c>
      <c r="Z1048">
        <v>79.474746704101605</v>
      </c>
      <c r="AA1048">
        <v>2018</v>
      </c>
      <c r="AB1048">
        <v>2019</v>
      </c>
      <c r="AC1048">
        <v>0</v>
      </c>
      <c r="AD1048">
        <v>0</v>
      </c>
      <c r="AE1048">
        <v>1</v>
      </c>
      <c r="AF1048">
        <v>1</v>
      </c>
      <c r="AJ1048">
        <v>1.0505995750427251</v>
      </c>
      <c r="AK1048">
        <v>0.62782955169677734</v>
      </c>
      <c r="AL1048">
        <v>4.5585075000000003E-2</v>
      </c>
      <c r="AM1048">
        <f>VLOOKUP(D1048,[1]Sheet1!$C$1:$D$191,2,FALSE)</f>
        <v>149</v>
      </c>
    </row>
    <row r="1049" spans="1:39" x14ac:dyDescent="0.35">
      <c r="A1049">
        <v>2017</v>
      </c>
      <c r="B1049" t="s">
        <v>152</v>
      </c>
      <c r="C1049">
        <v>149</v>
      </c>
      <c r="D1049" t="s">
        <v>330</v>
      </c>
      <c r="E1049">
        <v>1146787.8694717309</v>
      </c>
      <c r="F1049">
        <v>15366504</v>
      </c>
      <c r="G1049">
        <v>16513291.869471731</v>
      </c>
      <c r="H1049">
        <v>46282470359.931602</v>
      </c>
      <c r="I1049">
        <v>48153200134.661301</v>
      </c>
      <c r="J1049">
        <v>5.1744045395642667E-2</v>
      </c>
      <c r="K1049">
        <v>22397.7638081191</v>
      </c>
      <c r="L1049">
        <v>5.105896230132332E-2</v>
      </c>
      <c r="M1049">
        <v>21309.7120251737</v>
      </c>
      <c r="N1049">
        <v>1.42910743319306</v>
      </c>
      <c r="O1049">
        <v>158.70213584467001</v>
      </c>
      <c r="P1049">
        <v>45.4705282131968</v>
      </c>
      <c r="Q1049">
        <v>39.305731656545902</v>
      </c>
      <c r="R1049">
        <v>2066388</v>
      </c>
      <c r="S1049">
        <v>6.5180272362499168E-4</v>
      </c>
      <c r="T1049">
        <v>27.856000000000002</v>
      </c>
      <c r="U1049">
        <v>7.5</v>
      </c>
      <c r="V1049">
        <v>35.743935</v>
      </c>
      <c r="W1049">
        <v>2.1749079999999998</v>
      </c>
      <c r="X1049">
        <v>55.866779999999999</v>
      </c>
      <c r="Y1049">
        <v>78.885400000000004</v>
      </c>
      <c r="Z1049">
        <v>79.270347595214801</v>
      </c>
      <c r="AA1049">
        <v>2018</v>
      </c>
      <c r="AB1049">
        <v>2019</v>
      </c>
      <c r="AC1049">
        <v>0</v>
      </c>
      <c r="AD1049">
        <v>0</v>
      </c>
      <c r="AE1049">
        <v>1</v>
      </c>
      <c r="AF1049">
        <v>1</v>
      </c>
      <c r="AJ1049">
        <v>0.99327933788299561</v>
      </c>
      <c r="AK1049">
        <v>0.56462597846984863</v>
      </c>
      <c r="AL1049">
        <v>5.4177074999999998E-2</v>
      </c>
      <c r="AM1049">
        <f>VLOOKUP(D1049,[1]Sheet1!$C$1:$D$191,2,FALSE)</f>
        <v>149</v>
      </c>
    </row>
    <row r="1050" spans="1:39" x14ac:dyDescent="0.35">
      <c r="A1050">
        <v>2018</v>
      </c>
      <c r="B1050" t="s">
        <v>152</v>
      </c>
      <c r="C1050">
        <v>149</v>
      </c>
      <c r="D1050" t="s">
        <v>330</v>
      </c>
      <c r="E1050">
        <v>670081.26484999992</v>
      </c>
      <c r="F1050">
        <v>36009730.680349998</v>
      </c>
      <c r="G1050">
        <v>36679811.945199996</v>
      </c>
      <c r="H1050">
        <v>48309217557.236298</v>
      </c>
      <c r="I1050">
        <v>53689067639.917603</v>
      </c>
      <c r="J1050">
        <v>4.3790817161292302E-2</v>
      </c>
      <c r="K1050">
        <v>23293.966594838701</v>
      </c>
      <c r="L1050">
        <v>4.0013047480870888E-2</v>
      </c>
      <c r="M1050">
        <v>22397.7638081191</v>
      </c>
      <c r="N1050">
        <v>1.7386086198818</v>
      </c>
      <c r="O1050">
        <v>162.61349397585099</v>
      </c>
      <c r="P1050">
        <v>43.703114450424799</v>
      </c>
      <c r="Q1050">
        <v>38.124816675569598</v>
      </c>
      <c r="R1050">
        <v>2073894</v>
      </c>
      <c r="S1050">
        <v>3.6324252754081033E-3</v>
      </c>
      <c r="T1050">
        <v>27.539000000000001</v>
      </c>
      <c r="U1050">
        <v>7.5</v>
      </c>
      <c r="V1050">
        <v>34.307141999999999</v>
      </c>
      <c r="W1050">
        <v>2.015368</v>
      </c>
      <c r="X1050">
        <v>55.305790000000002</v>
      </c>
      <c r="Y1050">
        <v>79.75</v>
      </c>
      <c r="Z1050">
        <v>77.301597595214801</v>
      </c>
      <c r="AA1050">
        <v>2018</v>
      </c>
      <c r="AB1050">
        <v>2019</v>
      </c>
      <c r="AC1050">
        <v>1</v>
      </c>
      <c r="AD1050">
        <v>0</v>
      </c>
      <c r="AE1050">
        <v>1</v>
      </c>
      <c r="AF1050">
        <v>1</v>
      </c>
      <c r="AG1050">
        <v>0</v>
      </c>
      <c r="AJ1050">
        <v>1.024478435516357</v>
      </c>
      <c r="AK1050">
        <v>0.64229732751846313</v>
      </c>
      <c r="AL1050">
        <v>5.7072425000000003E-2</v>
      </c>
      <c r="AM1050">
        <f>VLOOKUP(D1050,[1]Sheet1!$C$1:$D$191,2,FALSE)</f>
        <v>149</v>
      </c>
    </row>
    <row r="1051" spans="1:39" x14ac:dyDescent="0.35">
      <c r="A1051">
        <v>2019</v>
      </c>
      <c r="B1051" t="s">
        <v>152</v>
      </c>
      <c r="C1051">
        <v>149</v>
      </c>
      <c r="D1051" t="s">
        <v>330</v>
      </c>
      <c r="E1051">
        <v>295994.33054315997</v>
      </c>
      <c r="F1051">
        <v>97010063.623439997</v>
      </c>
      <c r="G1051">
        <v>97306057.953983158</v>
      </c>
      <c r="H1051">
        <v>50002577211.653099</v>
      </c>
      <c r="I1051">
        <v>53909922735.544998</v>
      </c>
      <c r="J1051">
        <v>3.5052516684016363E-2</v>
      </c>
      <c r="K1051">
        <v>23943.179639603401</v>
      </c>
      <c r="L1051">
        <v>2.7870437699886941E-2</v>
      </c>
      <c r="M1051">
        <v>23293.966594838701</v>
      </c>
      <c r="N1051">
        <v>1.63052260754344</v>
      </c>
      <c r="O1051">
        <v>160.044275685249</v>
      </c>
      <c r="P1051">
        <v>42.715541306259802</v>
      </c>
      <c r="Q1051">
        <v>38.001695473674197</v>
      </c>
      <c r="R1051">
        <v>2088385</v>
      </c>
      <c r="S1051">
        <v>6.9873387935931149E-3</v>
      </c>
      <c r="T1051">
        <v>25.184999999999999</v>
      </c>
      <c r="U1051">
        <v>7.5</v>
      </c>
      <c r="V1051">
        <v>33.534168999999999</v>
      </c>
      <c r="W1051">
        <v>1.895526</v>
      </c>
      <c r="X1051">
        <v>61.142499999999998</v>
      </c>
      <c r="Y1051">
        <v>83.108400000000003</v>
      </c>
      <c r="Z1051">
        <v>76.472007751464801</v>
      </c>
      <c r="AA1051">
        <v>2018</v>
      </c>
      <c r="AB1051">
        <v>2019</v>
      </c>
      <c r="AC1051">
        <v>1</v>
      </c>
      <c r="AD1051">
        <v>1</v>
      </c>
      <c r="AE1051">
        <v>1</v>
      </c>
      <c r="AF1051">
        <v>1</v>
      </c>
      <c r="AG1051">
        <v>1</v>
      </c>
      <c r="AH1051">
        <v>0</v>
      </c>
      <c r="AJ1051">
        <v>1.08500075340271</v>
      </c>
      <c r="AK1051">
        <v>0.99702233076095581</v>
      </c>
      <c r="AL1051">
        <v>8.9242274999999996E-2</v>
      </c>
      <c r="AM1051">
        <f>VLOOKUP(D1051,[1]Sheet1!$C$1:$D$191,2,FALSE)</f>
        <v>149</v>
      </c>
    </row>
    <row r="1052" spans="1:39" x14ac:dyDescent="0.35">
      <c r="A1052">
        <v>2020</v>
      </c>
      <c r="B1052" t="s">
        <v>152</v>
      </c>
      <c r="C1052">
        <v>149</v>
      </c>
      <c r="D1052" t="s">
        <v>330</v>
      </c>
      <c r="E1052">
        <v>422448.14149059</v>
      </c>
      <c r="F1052">
        <v>101098086.998</v>
      </c>
      <c r="G1052">
        <v>101520535.13949059</v>
      </c>
      <c r="H1052">
        <v>47959972856.115601</v>
      </c>
      <c r="I1052">
        <v>53384760135.158096</v>
      </c>
      <c r="J1052">
        <v>-4.0849981529781421E-2</v>
      </c>
      <c r="K1052">
        <v>22811.805285300201</v>
      </c>
      <c r="L1052">
        <v>-4.7252469025953481E-2</v>
      </c>
      <c r="M1052">
        <v>23943.179639603401</v>
      </c>
      <c r="N1052">
        <v>-5.4856815760610002E-2</v>
      </c>
      <c r="O1052">
        <v>147.54900858494199</v>
      </c>
      <c r="P1052">
        <v>43.570575210063097</v>
      </c>
      <c r="Q1052">
        <v>45.970481548919501</v>
      </c>
      <c r="R1052">
        <v>2102419</v>
      </c>
      <c r="S1052">
        <v>6.7200252826945224E-3</v>
      </c>
      <c r="T1052">
        <v>22.587</v>
      </c>
      <c r="U1052">
        <v>7.54</v>
      </c>
      <c r="V1052">
        <v>30.782333000000001</v>
      </c>
      <c r="W1052">
        <v>2.0420669999999999</v>
      </c>
      <c r="X1052">
        <v>65.581689999999995</v>
      </c>
      <c r="Y1052">
        <v>86.601299999999995</v>
      </c>
      <c r="Z1052">
        <v>75.816680908203097</v>
      </c>
      <c r="AA1052">
        <v>2018</v>
      </c>
      <c r="AB1052">
        <v>2019</v>
      </c>
      <c r="AC1052">
        <v>1</v>
      </c>
      <c r="AD1052">
        <v>1</v>
      </c>
      <c r="AE1052">
        <v>1</v>
      </c>
      <c r="AF1052">
        <v>1</v>
      </c>
      <c r="AG1052">
        <v>2</v>
      </c>
      <c r="AH1052">
        <v>1</v>
      </c>
      <c r="AJ1052">
        <v>1.0395486354827881</v>
      </c>
      <c r="AK1052">
        <v>0.91221022605895996</v>
      </c>
      <c r="AL1052">
        <v>9.6155150000000009E-2</v>
      </c>
      <c r="AM1052">
        <f>VLOOKUP(D1052,[1]Sheet1!$C$1:$D$191,2,FALSE)</f>
        <v>149</v>
      </c>
    </row>
    <row r="1053" spans="1:39" x14ac:dyDescent="0.35">
      <c r="A1053">
        <v>2015</v>
      </c>
      <c r="B1053" t="s">
        <v>153</v>
      </c>
      <c r="C1053">
        <v>150</v>
      </c>
      <c r="D1053" t="s">
        <v>331</v>
      </c>
      <c r="E1053">
        <v>42257.17</v>
      </c>
      <c r="G1053">
        <v>42257.17</v>
      </c>
      <c r="H1053">
        <v>85140955388.850906</v>
      </c>
      <c r="I1053">
        <v>85140955388.850906</v>
      </c>
      <c r="J1053">
        <v>4.2059554759926218E-2</v>
      </c>
      <c r="K1053">
        <v>4060.1313967024798</v>
      </c>
      <c r="L1053">
        <v>3.2518523071138491E-2</v>
      </c>
      <c r="M1053">
        <v>3932.2601057325001</v>
      </c>
      <c r="N1053">
        <v>3.76836783062096</v>
      </c>
      <c r="O1053">
        <v>46.917970809275502</v>
      </c>
      <c r="P1053">
        <v>39.381850442995201</v>
      </c>
      <c r="Q1053">
        <v>17.088055654811399</v>
      </c>
      <c r="R1053">
        <v>20970000</v>
      </c>
      <c r="S1053">
        <v>9.2405428818943119E-3</v>
      </c>
      <c r="T1053">
        <v>54.551000000000002</v>
      </c>
      <c r="U1053">
        <v>6.42</v>
      </c>
      <c r="V1053">
        <v>17.204249000000001</v>
      </c>
      <c r="W1053">
        <v>4.1031779999999998</v>
      </c>
      <c r="X1053">
        <v>52.672870000000003</v>
      </c>
      <c r="Y1053">
        <v>15.26</v>
      </c>
      <c r="Z1053">
        <v>18.172645919768598</v>
      </c>
      <c r="AF1053">
        <v>0</v>
      </c>
      <c r="AJ1053">
        <v>3.2372698187828057E-2</v>
      </c>
      <c r="AK1053">
        <v>-5.8758899569511407E-2</v>
      </c>
      <c r="AL1053">
        <v>3.4342974999999998E-2</v>
      </c>
      <c r="AM1053">
        <f>VLOOKUP(D1053,[1]Sheet1!$C$1:$D$191,2,FALSE)</f>
        <v>150</v>
      </c>
    </row>
    <row r="1054" spans="1:39" x14ac:dyDescent="0.35">
      <c r="A1054">
        <v>2016</v>
      </c>
      <c r="B1054" t="s">
        <v>153</v>
      </c>
      <c r="C1054">
        <v>150</v>
      </c>
      <c r="D1054" t="s">
        <v>331</v>
      </c>
      <c r="E1054">
        <v>864.48021000000006</v>
      </c>
      <c r="G1054">
        <v>864.48021000000006</v>
      </c>
      <c r="H1054">
        <v>89443659904.152298</v>
      </c>
      <c r="I1054">
        <v>88012282205.835693</v>
      </c>
      <c r="J1054">
        <v>5.0536248925682418E-2</v>
      </c>
      <c r="K1054">
        <v>4217.2502194423196</v>
      </c>
      <c r="L1054">
        <v>3.8697965013508445E-2</v>
      </c>
      <c r="M1054">
        <v>4060.1313967024798</v>
      </c>
      <c r="N1054">
        <v>3.9588884659307002</v>
      </c>
      <c r="O1054">
        <v>46.471537025801503</v>
      </c>
      <c r="P1054">
        <v>42.475665288379503</v>
      </c>
      <c r="Q1054">
        <v>15.6608133527173</v>
      </c>
      <c r="R1054">
        <v>21209000</v>
      </c>
      <c r="S1054">
        <v>1.1397234144015261E-2</v>
      </c>
      <c r="T1054">
        <v>53.817</v>
      </c>
      <c r="U1054">
        <v>6.48</v>
      </c>
      <c r="V1054">
        <v>0</v>
      </c>
      <c r="W1054">
        <v>4.0663080000000003</v>
      </c>
      <c r="X1054">
        <v>51.036839999999998</v>
      </c>
      <c r="Y1054">
        <v>22.19</v>
      </c>
      <c r="Z1054">
        <v>17.1510485178135</v>
      </c>
      <c r="AF1054">
        <v>0</v>
      </c>
      <c r="AJ1054">
        <v>0.1073868125677109</v>
      </c>
      <c r="AK1054">
        <v>-0.1230266988277435</v>
      </c>
      <c r="AL1054">
        <v>8.4645724999999991E-2</v>
      </c>
      <c r="AM1054">
        <f>VLOOKUP(D1054,[1]Sheet1!$C$1:$D$191,2,FALSE)</f>
        <v>150</v>
      </c>
    </row>
    <row r="1055" spans="1:39" x14ac:dyDescent="0.35">
      <c r="A1055">
        <v>2017</v>
      </c>
      <c r="B1055" t="s">
        <v>153</v>
      </c>
      <c r="C1055">
        <v>150</v>
      </c>
      <c r="D1055" t="s">
        <v>331</v>
      </c>
      <c r="E1055">
        <v>38926</v>
      </c>
      <c r="G1055">
        <v>38926</v>
      </c>
      <c r="H1055">
        <v>95222329687.411697</v>
      </c>
      <c r="I1055">
        <v>94376237797.236694</v>
      </c>
      <c r="J1055">
        <v>6.4606812707036068E-2</v>
      </c>
      <c r="K1055">
        <v>4440.51155042957</v>
      </c>
      <c r="L1055">
        <v>5.2940024748347518E-2</v>
      </c>
      <c r="M1055">
        <v>4217.2502194423196</v>
      </c>
      <c r="N1055">
        <v>7.7041376785060196</v>
      </c>
      <c r="O1055">
        <v>47.140409801460002</v>
      </c>
      <c r="P1055">
        <v>43.882752565456698</v>
      </c>
      <c r="Q1055">
        <v>15.3308825079959</v>
      </c>
      <c r="R1055">
        <v>21444000</v>
      </c>
      <c r="S1055">
        <v>1.1080201801122165E-2</v>
      </c>
      <c r="T1055">
        <v>54.091999999999999</v>
      </c>
      <c r="U1055">
        <v>6.48</v>
      </c>
      <c r="V1055">
        <v>0</v>
      </c>
      <c r="W1055">
        <v>4.1980040000000001</v>
      </c>
      <c r="X1055">
        <v>50.970329999999997</v>
      </c>
      <c r="Y1055">
        <v>25.1</v>
      </c>
      <c r="Z1055">
        <v>17.1941300290821</v>
      </c>
      <c r="AF1055">
        <v>0</v>
      </c>
      <c r="AJ1055">
        <v>2.7516484260559079E-2</v>
      </c>
      <c r="AK1055">
        <v>-0.1622786670923233</v>
      </c>
      <c r="AL1055">
        <v>4.6954750000000003E-2</v>
      </c>
      <c r="AM1055">
        <f>VLOOKUP(D1055,[1]Sheet1!$C$1:$D$191,2,FALSE)</f>
        <v>150</v>
      </c>
    </row>
    <row r="1056" spans="1:39" x14ac:dyDescent="0.35">
      <c r="A1056">
        <v>2018</v>
      </c>
      <c r="B1056" t="s">
        <v>153</v>
      </c>
      <c r="C1056">
        <v>150</v>
      </c>
      <c r="D1056" t="s">
        <v>331</v>
      </c>
      <c r="E1056">
        <v>98865.922749999998</v>
      </c>
      <c r="G1056">
        <v>98865.922749999998</v>
      </c>
      <c r="H1056">
        <v>97422045729.833405</v>
      </c>
      <c r="I1056">
        <v>94493871200.786896</v>
      </c>
      <c r="J1056">
        <v>2.3100842519215403E-2</v>
      </c>
      <c r="K1056">
        <v>4495.7104628441803</v>
      </c>
      <c r="L1056">
        <v>1.2430755282974187E-2</v>
      </c>
      <c r="M1056">
        <v>4440.51155042957</v>
      </c>
      <c r="N1056">
        <v>2.135037737132</v>
      </c>
      <c r="O1056">
        <v>49.809396750745897</v>
      </c>
      <c r="P1056">
        <v>46.698407325191397</v>
      </c>
      <c r="Q1056">
        <v>15.284794926953699</v>
      </c>
      <c r="R1056">
        <v>21670000</v>
      </c>
      <c r="S1056">
        <v>1.0539078530124977E-2</v>
      </c>
      <c r="T1056">
        <v>52.335000000000001</v>
      </c>
      <c r="U1056">
        <v>6.19</v>
      </c>
      <c r="V1056">
        <v>0</v>
      </c>
      <c r="W1056">
        <v>3.9684400000000002</v>
      </c>
      <c r="X1056">
        <v>51.273139999999998</v>
      </c>
      <c r="Y1056">
        <v>28.3</v>
      </c>
      <c r="Z1056">
        <v>17.886975677811201</v>
      </c>
      <c r="AF1056">
        <v>0</v>
      </c>
      <c r="AJ1056">
        <v>-1.4581724826712161E-4</v>
      </c>
      <c r="AK1056">
        <v>-0.21768185496330261</v>
      </c>
      <c r="AL1056">
        <v>4.7360474999999999E-2</v>
      </c>
      <c r="AM1056">
        <f>VLOOKUP(D1056,[1]Sheet1!$C$1:$D$191,2,FALSE)</f>
        <v>150</v>
      </c>
    </row>
    <row r="1057" spans="1:39" x14ac:dyDescent="0.35">
      <c r="A1057">
        <v>2019</v>
      </c>
      <c r="B1057" t="s">
        <v>153</v>
      </c>
      <c r="C1057">
        <v>150</v>
      </c>
      <c r="D1057" t="s">
        <v>331</v>
      </c>
      <c r="E1057">
        <v>79114.437641609999</v>
      </c>
      <c r="G1057">
        <v>79114.437641609999</v>
      </c>
      <c r="H1057">
        <v>97207245817.5168</v>
      </c>
      <c r="I1057">
        <v>89014978344.140396</v>
      </c>
      <c r="J1057">
        <v>-2.2048388607264356E-3</v>
      </c>
      <c r="K1057">
        <v>4458.4344272584904</v>
      </c>
      <c r="L1057">
        <v>-8.2914671426832648E-3</v>
      </c>
      <c r="M1057">
        <v>4495.7104628441803</v>
      </c>
      <c r="N1057">
        <v>3.5283935823181101</v>
      </c>
      <c r="O1057">
        <v>49.425525854372196</v>
      </c>
      <c r="P1057">
        <v>47.008492943732101</v>
      </c>
      <c r="Q1057">
        <v>15.9340645136853</v>
      </c>
      <c r="R1057">
        <v>21803000</v>
      </c>
      <c r="S1057">
        <v>6.1375173050299955E-3</v>
      </c>
      <c r="T1057">
        <v>52.780999999999999</v>
      </c>
      <c r="U1057">
        <v>6.27</v>
      </c>
      <c r="V1057">
        <v>0</v>
      </c>
      <c r="W1057">
        <v>4.129975</v>
      </c>
      <c r="X1057">
        <v>51.915750000000003</v>
      </c>
      <c r="Y1057">
        <v>32</v>
      </c>
      <c r="Z1057">
        <v>19.4563160693078</v>
      </c>
      <c r="AF1057">
        <v>0</v>
      </c>
      <c r="AJ1057">
        <v>3.9878584444522858E-2</v>
      </c>
      <c r="AK1057">
        <v>-0.23244559764862061</v>
      </c>
      <c r="AL1057">
        <v>3.6267899999999999E-2</v>
      </c>
      <c r="AM1057">
        <f>VLOOKUP(D1057,[1]Sheet1!$C$1:$D$191,2,FALSE)</f>
        <v>150</v>
      </c>
    </row>
    <row r="1058" spans="1:39" x14ac:dyDescent="0.35">
      <c r="A1058">
        <v>2020</v>
      </c>
      <c r="B1058" t="s">
        <v>153</v>
      </c>
      <c r="C1058">
        <v>150</v>
      </c>
      <c r="D1058" t="s">
        <v>331</v>
      </c>
      <c r="E1058">
        <v>172056.86735834999</v>
      </c>
      <c r="G1058">
        <v>172056.86735835002</v>
      </c>
      <c r="H1058">
        <v>92711882117.992798</v>
      </c>
      <c r="I1058">
        <v>84304298770.532898</v>
      </c>
      <c r="J1058">
        <v>-4.6245150366290233E-2</v>
      </c>
      <c r="K1058">
        <v>4229.7496289973396</v>
      </c>
      <c r="L1058">
        <v>-5.1292623451629396E-2</v>
      </c>
      <c r="M1058">
        <v>4458.4344272584904</v>
      </c>
      <c r="N1058">
        <v>6.1539450839173799</v>
      </c>
      <c r="O1058">
        <v>37.089120501303398</v>
      </c>
      <c r="Q1058">
        <v>19.069171326315601</v>
      </c>
      <c r="R1058">
        <v>21919000</v>
      </c>
      <c r="S1058">
        <v>5.3203687565931291E-3</v>
      </c>
      <c r="T1058">
        <v>51.56</v>
      </c>
      <c r="U1058">
        <v>6.14</v>
      </c>
      <c r="V1058">
        <v>0</v>
      </c>
      <c r="W1058">
        <v>3.4206699999999999</v>
      </c>
      <c r="X1058">
        <v>54.812220000000003</v>
      </c>
      <c r="Y1058">
        <v>36.184699999999999</v>
      </c>
      <c r="Z1058">
        <v>20.161487934302201</v>
      </c>
      <c r="AF1058">
        <v>0</v>
      </c>
      <c r="AI1058">
        <v>1</v>
      </c>
      <c r="AJ1058">
        <v>-5.8447914198040962E-3</v>
      </c>
      <c r="AK1058">
        <v>-0.225914791226387</v>
      </c>
      <c r="AL1058">
        <v>2.4553325000000001E-2</v>
      </c>
      <c r="AM1058">
        <f>VLOOKUP(D1058,[1]Sheet1!$C$1:$D$191,2,FALSE)</f>
        <v>150</v>
      </c>
    </row>
    <row r="1059" spans="1:39" x14ac:dyDescent="0.35">
      <c r="A1059">
        <v>2015</v>
      </c>
      <c r="B1059" t="s">
        <v>154</v>
      </c>
      <c r="C1059">
        <v>151</v>
      </c>
      <c r="D1059" t="s">
        <v>371</v>
      </c>
      <c r="E1059">
        <v>6387</v>
      </c>
      <c r="G1059">
        <v>6387</v>
      </c>
      <c r="H1059">
        <v>5126237646.2207203</v>
      </c>
      <c r="I1059">
        <v>5126237646.2207203</v>
      </c>
      <c r="J1059">
        <v>-3.4130426806762502E-2</v>
      </c>
      <c r="K1059">
        <v>8813.6170539206705</v>
      </c>
      <c r="L1059">
        <v>-4.4516031860775573E-2</v>
      </c>
      <c r="M1059">
        <v>9224.2437841054707</v>
      </c>
      <c r="N1059">
        <v>6.8939035916823803</v>
      </c>
      <c r="P1059">
        <v>33.733020606752703</v>
      </c>
      <c r="R1059">
        <v>581627</v>
      </c>
      <c r="S1059">
        <v>1.0869470760706533E-2</v>
      </c>
      <c r="U1059">
        <v>6.77</v>
      </c>
      <c r="V1059">
        <v>47.133887999999999</v>
      </c>
      <c r="W1059">
        <v>4.896547</v>
      </c>
      <c r="X1059">
        <v>88.436099999999996</v>
      </c>
      <c r="Y1059">
        <v>42.763800000000003</v>
      </c>
      <c r="AJ1059">
        <v>-0.2157575786113739</v>
      </c>
      <c r="AK1059">
        <v>-0.63172215223312378</v>
      </c>
      <c r="AM1059">
        <f>VLOOKUP(D1059,[1]Sheet1!$C$1:$D$191,2,FALSE)</f>
        <v>151</v>
      </c>
    </row>
    <row r="1060" spans="1:39" x14ac:dyDescent="0.35">
      <c r="A1060">
        <v>2017</v>
      </c>
      <c r="B1060" t="s">
        <v>154</v>
      </c>
      <c r="C1060">
        <v>151</v>
      </c>
      <c r="D1060" t="s">
        <v>371</v>
      </c>
      <c r="E1060">
        <v>31027</v>
      </c>
      <c r="G1060">
        <v>31027</v>
      </c>
      <c r="H1060">
        <v>4950790053.58146</v>
      </c>
      <c r="I1060">
        <v>3591679430.9998798</v>
      </c>
      <c r="J1060">
        <v>1.5660378253490922E-2</v>
      </c>
      <c r="K1060">
        <v>8338.6923540186199</v>
      </c>
      <c r="L1060">
        <v>5.471493703416614E-3</v>
      </c>
      <c r="M1060">
        <v>8293.3155303140593</v>
      </c>
      <c r="N1060">
        <v>21.996943017330398</v>
      </c>
      <c r="P1060">
        <v>28.286886647443801</v>
      </c>
      <c r="R1060">
        <v>593713</v>
      </c>
      <c r="S1060">
        <v>1.0133439499657171E-2</v>
      </c>
      <c r="U1060">
        <v>6.76</v>
      </c>
      <c r="V1060">
        <v>50.966799000000002</v>
      </c>
      <c r="W1060">
        <v>4.181673</v>
      </c>
      <c r="X1060">
        <v>86.581860000000006</v>
      </c>
      <c r="Y1060">
        <v>48.9452</v>
      </c>
      <c r="AJ1060">
        <v>-0.17183716595172879</v>
      </c>
      <c r="AK1060">
        <v>-0.55706250667572021</v>
      </c>
      <c r="AM1060">
        <f>VLOOKUP(D1060,[1]Sheet1!$C$1:$D$191,2,FALSE)</f>
        <v>151</v>
      </c>
    </row>
    <row r="1061" spans="1:39" x14ac:dyDescent="0.35">
      <c r="A1061">
        <v>2018</v>
      </c>
      <c r="B1061" t="s">
        <v>154</v>
      </c>
      <c r="C1061">
        <v>151</v>
      </c>
      <c r="D1061" t="s">
        <v>371</v>
      </c>
      <c r="E1061">
        <v>19214.810000000001</v>
      </c>
      <c r="G1061">
        <v>19214.810000000001</v>
      </c>
      <c r="H1061">
        <v>5195768566.2664804</v>
      </c>
      <c r="I1061">
        <v>3996198866.5745301</v>
      </c>
      <c r="J1061">
        <v>4.9482710846887983E-2</v>
      </c>
      <c r="K1061">
        <v>8666.6487069779705</v>
      </c>
      <c r="L1061">
        <v>3.932947026176118E-2</v>
      </c>
      <c r="M1061">
        <v>8338.6923540186199</v>
      </c>
      <c r="P1061">
        <v>24.278077806331499</v>
      </c>
      <c r="R1061">
        <v>599513</v>
      </c>
      <c r="S1061">
        <v>9.7690298174370437E-3</v>
      </c>
      <c r="U1061">
        <v>6.98</v>
      </c>
      <c r="V1061">
        <v>48.153709999999997</v>
      </c>
      <c r="W1061">
        <v>3.8743859999999999</v>
      </c>
      <c r="X1061">
        <v>87.062079999999995</v>
      </c>
      <c r="Y1061">
        <v>55.1</v>
      </c>
      <c r="AJ1061">
        <v>-8.7810397148132324E-2</v>
      </c>
      <c r="AK1061">
        <v>-0.66897445917129517</v>
      </c>
      <c r="AM1061">
        <f>VLOOKUP(D1061,[1]Sheet1!$C$1:$D$191,2,FALSE)</f>
        <v>151</v>
      </c>
    </row>
    <row r="1062" spans="1:39" x14ac:dyDescent="0.35">
      <c r="A1062">
        <v>2019</v>
      </c>
      <c r="B1062" t="s">
        <v>154</v>
      </c>
      <c r="C1062">
        <v>151</v>
      </c>
      <c r="D1062" t="s">
        <v>371</v>
      </c>
      <c r="E1062">
        <v>18407.146801229999</v>
      </c>
      <c r="G1062">
        <v>18407.146801229999</v>
      </c>
      <c r="H1062">
        <v>5256433828.6406002</v>
      </c>
      <c r="I1062">
        <v>4016040575.0879598</v>
      </c>
      <c r="J1062">
        <v>1.167589772338762E-2</v>
      </c>
      <c r="K1062">
        <v>8677.3052202173094</v>
      </c>
      <c r="L1062">
        <v>1.2296002295280272E-3</v>
      </c>
      <c r="M1062">
        <v>8666.6487069779705</v>
      </c>
      <c r="P1062">
        <v>23.094083380923699</v>
      </c>
      <c r="R1062">
        <v>605768</v>
      </c>
      <c r="S1062">
        <v>1.0433468498598029E-2</v>
      </c>
      <c r="U1062">
        <v>6.98</v>
      </c>
      <c r="V1062">
        <v>48.716543000000001</v>
      </c>
      <c r="W1062">
        <v>2.637168</v>
      </c>
      <c r="X1062">
        <v>100</v>
      </c>
      <c r="Y1062">
        <v>62</v>
      </c>
      <c r="Z1062">
        <v>5.2643513094743204</v>
      </c>
      <c r="AJ1062">
        <v>-8.3465851843357086E-2</v>
      </c>
      <c r="AK1062">
        <v>-0.70141208171844482</v>
      </c>
      <c r="AM1062">
        <f>VLOOKUP(D1062,[1]Sheet1!$C$1:$D$191,2,FALSE)</f>
        <v>151</v>
      </c>
    </row>
    <row r="1063" spans="1:39" x14ac:dyDescent="0.35">
      <c r="A1063">
        <v>2020</v>
      </c>
      <c r="B1063" t="s">
        <v>154</v>
      </c>
      <c r="C1063">
        <v>151</v>
      </c>
      <c r="D1063" t="s">
        <v>371</v>
      </c>
      <c r="E1063">
        <v>17205.84</v>
      </c>
      <c r="G1063">
        <v>17205.84</v>
      </c>
      <c r="H1063">
        <v>4416708447.1504002</v>
      </c>
      <c r="I1063">
        <v>2911807496.20227</v>
      </c>
      <c r="J1063">
        <v>-0.15975191714862066</v>
      </c>
      <c r="K1063">
        <v>7213.1076666994304</v>
      </c>
      <c r="L1063">
        <v>-0.16873874046823151</v>
      </c>
      <c r="M1063">
        <v>8677.3052202173094</v>
      </c>
      <c r="N1063">
        <v>34.889784309078003</v>
      </c>
      <c r="P1063">
        <v>24.220907558957698</v>
      </c>
      <c r="R1063">
        <v>612317</v>
      </c>
      <c r="S1063">
        <v>1.0811069584395346E-2</v>
      </c>
      <c r="U1063">
        <v>6.82</v>
      </c>
      <c r="V1063">
        <v>45.792121999999999</v>
      </c>
      <c r="W1063">
        <v>0</v>
      </c>
      <c r="X1063">
        <v>0</v>
      </c>
      <c r="Y1063">
        <v>69.8369</v>
      </c>
      <c r="Z1063">
        <v>5.3057471264367804</v>
      </c>
      <c r="AJ1063">
        <v>-0.13208894431591031</v>
      </c>
      <c r="AK1063">
        <v>-0.79501527547836304</v>
      </c>
      <c r="AM1063">
        <f>VLOOKUP(D1063,[1]Sheet1!$C$1:$D$191,2,FALSE)</f>
        <v>151</v>
      </c>
    </row>
    <row r="1064" spans="1:39" x14ac:dyDescent="0.35">
      <c r="A1064">
        <v>2015</v>
      </c>
      <c r="B1064" t="s">
        <v>155</v>
      </c>
      <c r="C1064">
        <v>152</v>
      </c>
      <c r="D1064" t="s">
        <v>332</v>
      </c>
      <c r="E1064">
        <v>575202.52849199891</v>
      </c>
      <c r="G1064">
        <v>575202.52849199891</v>
      </c>
      <c r="H1064">
        <v>864313810469.00903</v>
      </c>
      <c r="I1064">
        <v>864313810469.00903</v>
      </c>
      <c r="J1064">
        <v>6.0844869044366347E-2</v>
      </c>
      <c r="K1064">
        <v>11049.9951100942</v>
      </c>
      <c r="L1064">
        <v>4.678595993380312E-2</v>
      </c>
      <c r="M1064">
        <v>10556.117041150401</v>
      </c>
      <c r="N1064">
        <v>7.6708536484587704</v>
      </c>
      <c r="O1064">
        <v>51.088543600755202</v>
      </c>
      <c r="P1064">
        <v>66.477897346837196</v>
      </c>
      <c r="Q1064">
        <v>28.881926284079299</v>
      </c>
      <c r="R1064">
        <v>78218479</v>
      </c>
      <c r="S1064">
        <v>1.3430548028602152E-2</v>
      </c>
      <c r="T1064">
        <v>49.646000000000001</v>
      </c>
      <c r="U1064">
        <v>5.12</v>
      </c>
      <c r="V1064">
        <v>82.629239999999996</v>
      </c>
      <c r="W1064">
        <v>3.8468010000000001</v>
      </c>
      <c r="X1064">
        <v>38.976140000000001</v>
      </c>
      <c r="Y1064">
        <v>53.744999999999997</v>
      </c>
      <c r="Z1064">
        <v>95.564506530761705</v>
      </c>
      <c r="AA1064">
        <v>2020</v>
      </c>
      <c r="AB1064">
        <v>2022</v>
      </c>
      <c r="AC1064">
        <v>0</v>
      </c>
      <c r="AD1064">
        <v>0</v>
      </c>
      <c r="AE1064">
        <v>2</v>
      </c>
      <c r="AF1064">
        <v>1</v>
      </c>
      <c r="AJ1064">
        <v>-0.23225000500679016</v>
      </c>
      <c r="AK1064">
        <v>0.27379763126373291</v>
      </c>
      <c r="AL1064">
        <v>0.228731775</v>
      </c>
      <c r="AM1064">
        <f>VLOOKUP(D1064,[1]Sheet1!$C$1:$D$191,2,FALSE)</f>
        <v>152</v>
      </c>
    </row>
    <row r="1065" spans="1:39" x14ac:dyDescent="0.35">
      <c r="A1065">
        <v>2016</v>
      </c>
      <c r="B1065" t="s">
        <v>155</v>
      </c>
      <c r="C1065">
        <v>152</v>
      </c>
      <c r="D1065" t="s">
        <v>332</v>
      </c>
      <c r="E1065">
        <v>701221.68367554329</v>
      </c>
      <c r="F1065">
        <v>292016.21324999997</v>
      </c>
      <c r="G1065">
        <v>993237.8969255432</v>
      </c>
      <c r="H1065">
        <v>893035686216.22205</v>
      </c>
      <c r="I1065">
        <v>869682881593.04102</v>
      </c>
      <c r="J1065">
        <v>3.32308420845751E-2</v>
      </c>
      <c r="K1065">
        <v>11264.614574933499</v>
      </c>
      <c r="L1065">
        <v>1.9422584598543749E-2</v>
      </c>
      <c r="M1065">
        <v>11049.9951100942</v>
      </c>
      <c r="N1065">
        <v>7.7751341532833003</v>
      </c>
      <c r="O1065">
        <v>48.328186233897299</v>
      </c>
      <c r="P1065">
        <v>69.373066173896405</v>
      </c>
      <c r="Q1065">
        <v>30.6454877440116</v>
      </c>
      <c r="R1065">
        <v>79277962</v>
      </c>
      <c r="S1065">
        <v>1.3545175175293297E-2</v>
      </c>
      <c r="T1065">
        <v>50.137</v>
      </c>
      <c r="U1065">
        <v>5.04</v>
      </c>
      <c r="V1065">
        <v>81.226872999999998</v>
      </c>
      <c r="W1065">
        <v>4.0011229999999998</v>
      </c>
      <c r="X1065">
        <v>38.706899999999997</v>
      </c>
      <c r="Y1065">
        <v>58.347700000000003</v>
      </c>
      <c r="Z1065">
        <v>103.71558380127</v>
      </c>
      <c r="AA1065">
        <v>2020</v>
      </c>
      <c r="AB1065">
        <v>2022</v>
      </c>
      <c r="AC1065">
        <v>0</v>
      </c>
      <c r="AD1065">
        <v>0</v>
      </c>
      <c r="AE1065">
        <v>2</v>
      </c>
      <c r="AF1065">
        <v>1</v>
      </c>
      <c r="AJ1065">
        <v>-0.34149235486984253</v>
      </c>
      <c r="AK1065">
        <v>0.19346731901168823</v>
      </c>
      <c r="AL1065">
        <v>0.16985169999999999</v>
      </c>
      <c r="AM1065">
        <f>VLOOKUP(D1065,[1]Sheet1!$C$1:$D$191,2,FALSE)</f>
        <v>152</v>
      </c>
    </row>
    <row r="1066" spans="1:39" x14ac:dyDescent="0.35">
      <c r="A1066">
        <v>2017</v>
      </c>
      <c r="B1066" t="s">
        <v>155</v>
      </c>
      <c r="C1066">
        <v>152</v>
      </c>
      <c r="D1066" t="s">
        <v>332</v>
      </c>
      <c r="E1066">
        <v>1368513.5736064031</v>
      </c>
      <c r="F1066">
        <v>4768516.5706702201</v>
      </c>
      <c r="G1066">
        <v>6137030.1442766236</v>
      </c>
      <c r="H1066">
        <v>960031200973.599</v>
      </c>
      <c r="I1066">
        <v>858988492853.74194</v>
      </c>
      <c r="J1066">
        <v>7.501997489174915E-2</v>
      </c>
      <c r="K1066">
        <v>11953.666417402599</v>
      </c>
      <c r="L1066">
        <v>6.1169588882553291E-2</v>
      </c>
      <c r="M1066">
        <v>11264.614574933499</v>
      </c>
      <c r="N1066">
        <v>11.144311084076501</v>
      </c>
      <c r="O1066">
        <v>55.762168749567998</v>
      </c>
      <c r="P1066">
        <v>70.483051212333706</v>
      </c>
      <c r="Q1066">
        <v>31.732242351716899</v>
      </c>
      <c r="R1066">
        <v>80312698</v>
      </c>
      <c r="S1066">
        <v>1.3052000504251106E-2</v>
      </c>
      <c r="T1066">
        <v>50.640999999999998</v>
      </c>
      <c r="U1066">
        <v>4.88</v>
      </c>
      <c r="V1066">
        <v>81.937892000000005</v>
      </c>
      <c r="W1066">
        <v>4.4781969999999998</v>
      </c>
      <c r="X1066">
        <v>38.288379999999997</v>
      </c>
      <c r="Y1066">
        <v>64.684600000000003</v>
      </c>
      <c r="Z1066">
        <v>110.534072875977</v>
      </c>
      <c r="AA1066">
        <v>2020</v>
      </c>
      <c r="AB1066">
        <v>2022</v>
      </c>
      <c r="AC1066">
        <v>0</v>
      </c>
      <c r="AD1066">
        <v>0</v>
      </c>
      <c r="AE1066">
        <v>2</v>
      </c>
      <c r="AF1066">
        <v>1</v>
      </c>
      <c r="AJ1066">
        <v>-0.31727251410484314</v>
      </c>
      <c r="AK1066">
        <v>4.3469104915857315E-2</v>
      </c>
      <c r="AL1066">
        <v>0.13909427499999999</v>
      </c>
      <c r="AM1066">
        <f>VLOOKUP(D1066,[1]Sheet1!$C$1:$D$191,2,FALSE)</f>
        <v>152</v>
      </c>
    </row>
    <row r="1067" spans="1:39" x14ac:dyDescent="0.35">
      <c r="A1067">
        <v>2018</v>
      </c>
      <c r="B1067" t="s">
        <v>155</v>
      </c>
      <c r="C1067">
        <v>152</v>
      </c>
      <c r="D1067" t="s">
        <v>332</v>
      </c>
      <c r="E1067">
        <v>1788895.4553380001</v>
      </c>
      <c r="F1067">
        <v>172425</v>
      </c>
      <c r="G1067">
        <v>1961320.4553380001</v>
      </c>
      <c r="H1067">
        <v>988958576886.06396</v>
      </c>
      <c r="I1067">
        <v>778972108040.60205</v>
      </c>
      <c r="J1067">
        <v>3.0131703931214702E-2</v>
      </c>
      <c r="K1067">
        <v>12148.2931275476</v>
      </c>
      <c r="L1067">
        <v>1.628175852905317E-2</v>
      </c>
      <c r="M1067">
        <v>11953.666417402599</v>
      </c>
      <c r="N1067">
        <v>16.332463898892801</v>
      </c>
      <c r="O1067">
        <v>62.614218542684497</v>
      </c>
      <c r="P1067">
        <v>67.501225048510307</v>
      </c>
      <c r="Q1067">
        <v>33.543654431644804</v>
      </c>
      <c r="R1067">
        <v>81407204</v>
      </c>
      <c r="S1067">
        <v>1.362805667417623E-2</v>
      </c>
      <c r="T1067">
        <v>51.094000000000001</v>
      </c>
      <c r="U1067">
        <v>4.37</v>
      </c>
      <c r="V1067">
        <v>83.716740000000001</v>
      </c>
      <c r="W1067">
        <v>4.2732799999999997</v>
      </c>
      <c r="X1067">
        <v>39.059429999999999</v>
      </c>
      <c r="Y1067">
        <v>71.0428</v>
      </c>
      <c r="Z1067">
        <v>115.46246337890599</v>
      </c>
      <c r="AA1067">
        <v>2020</v>
      </c>
      <c r="AB1067">
        <v>2022</v>
      </c>
      <c r="AC1067">
        <v>0</v>
      </c>
      <c r="AD1067">
        <v>0</v>
      </c>
      <c r="AE1067">
        <v>2</v>
      </c>
      <c r="AF1067">
        <v>1</v>
      </c>
      <c r="AJ1067">
        <v>-0.39009937644004822</v>
      </c>
      <c r="AK1067">
        <v>1.6247209161520004E-2</v>
      </c>
      <c r="AL1067">
        <v>0.107481725</v>
      </c>
      <c r="AM1067">
        <f>VLOOKUP(D1067,[1]Sheet1!$C$1:$D$191,2,FALSE)</f>
        <v>152</v>
      </c>
    </row>
    <row r="1068" spans="1:39" x14ac:dyDescent="0.35">
      <c r="A1068">
        <v>2019</v>
      </c>
      <c r="B1068" t="s">
        <v>155</v>
      </c>
      <c r="C1068">
        <v>152</v>
      </c>
      <c r="D1068" t="s">
        <v>332</v>
      </c>
      <c r="E1068">
        <v>1557344.93230933</v>
      </c>
      <c r="F1068">
        <v>1275970.521378644</v>
      </c>
      <c r="G1068">
        <v>2833315.4536879738</v>
      </c>
      <c r="H1068">
        <v>997053346501.18604</v>
      </c>
      <c r="I1068">
        <v>761005915750.92505</v>
      </c>
      <c r="J1068">
        <v>8.1851452672669963E-3</v>
      </c>
      <c r="K1068">
        <v>12073.8690708145</v>
      </c>
      <c r="L1068">
        <v>-6.1262974108136281E-3</v>
      </c>
      <c r="M1068">
        <v>12148.2931275476</v>
      </c>
      <c r="N1068">
        <v>15.176821572002201</v>
      </c>
      <c r="O1068">
        <v>63.193292900414498</v>
      </c>
      <c r="P1068">
        <v>65.509381916931801</v>
      </c>
      <c r="Q1068">
        <v>35.571638976975002</v>
      </c>
      <c r="R1068">
        <v>82579440</v>
      </c>
      <c r="S1068">
        <v>1.4399659273397966E-2</v>
      </c>
      <c r="T1068">
        <v>50.151000000000003</v>
      </c>
      <c r="U1068">
        <v>4.09</v>
      </c>
      <c r="V1068">
        <v>83.946725999999998</v>
      </c>
      <c r="W1068">
        <v>4.2074959999999999</v>
      </c>
      <c r="X1068">
        <v>44.249450000000003</v>
      </c>
      <c r="Y1068">
        <v>73.976699999999994</v>
      </c>
      <c r="Z1068">
        <v>117.00547027587901</v>
      </c>
      <c r="AA1068">
        <v>2020</v>
      </c>
      <c r="AB1068">
        <v>2022</v>
      </c>
      <c r="AC1068">
        <v>0</v>
      </c>
      <c r="AD1068">
        <v>0</v>
      </c>
      <c r="AE1068">
        <v>2</v>
      </c>
      <c r="AF1068">
        <v>1</v>
      </c>
      <c r="AI1068">
        <v>1</v>
      </c>
      <c r="AJ1068">
        <v>-0.34683364629745483</v>
      </c>
      <c r="AK1068">
        <v>-2.0417749881744385E-2</v>
      </c>
      <c r="AL1068">
        <v>0.10289935</v>
      </c>
      <c r="AM1068">
        <f>VLOOKUP(D1068,[1]Sheet1!$C$1:$D$191,2,FALSE)</f>
        <v>152</v>
      </c>
    </row>
    <row r="1069" spans="1:39" x14ac:dyDescent="0.35">
      <c r="A1069">
        <v>2020</v>
      </c>
      <c r="B1069" t="s">
        <v>155</v>
      </c>
      <c r="C1069">
        <v>152</v>
      </c>
      <c r="D1069" t="s">
        <v>332</v>
      </c>
      <c r="E1069">
        <v>1236807.3967599999</v>
      </c>
      <c r="F1069">
        <v>29536759.086604949</v>
      </c>
      <c r="G1069">
        <v>30773566.483364947</v>
      </c>
      <c r="H1069">
        <v>1015597272884.83</v>
      </c>
      <c r="I1069">
        <v>720338490327.24805</v>
      </c>
      <c r="J1069">
        <v>1.8598730397643634E-2</v>
      </c>
      <c r="K1069">
        <v>12179.6626536773</v>
      </c>
      <c r="L1069">
        <v>8.7621939779460312E-3</v>
      </c>
      <c r="M1069">
        <v>12073.8690708145</v>
      </c>
      <c r="N1069">
        <v>12.278957446257399</v>
      </c>
      <c r="O1069">
        <v>61.343755766765298</v>
      </c>
      <c r="P1069">
        <v>75.154395927749803</v>
      </c>
      <c r="Q1069">
        <v>34.068245053223897</v>
      </c>
      <c r="R1069">
        <v>83384680</v>
      </c>
      <c r="S1069">
        <v>9.7510954300489318E-3</v>
      </c>
      <c r="T1069">
        <v>45.631999999999998</v>
      </c>
      <c r="U1069">
        <v>4.4800000000000004</v>
      </c>
      <c r="V1069">
        <v>82.308390000000003</v>
      </c>
      <c r="W1069">
        <v>4.4638999999999998</v>
      </c>
      <c r="X1069">
        <v>49.197490000000002</v>
      </c>
      <c r="Y1069">
        <v>77.669600000000003</v>
      </c>
      <c r="Z1069">
        <v>118.883682250977</v>
      </c>
      <c r="AA1069">
        <v>2020</v>
      </c>
      <c r="AB1069">
        <v>2022</v>
      </c>
      <c r="AC1069">
        <v>1</v>
      </c>
      <c r="AD1069">
        <v>0</v>
      </c>
      <c r="AE1069">
        <v>2</v>
      </c>
      <c r="AF1069">
        <v>1</v>
      </c>
      <c r="AG1069">
        <v>0</v>
      </c>
      <c r="AI1069">
        <v>1</v>
      </c>
      <c r="AJ1069">
        <v>-0.41865900158882141</v>
      </c>
      <c r="AK1069">
        <v>-2.4792725220322609E-2</v>
      </c>
      <c r="AL1069">
        <v>7.7561900000000003E-2</v>
      </c>
      <c r="AM1069">
        <f>VLOOKUP(D1069,[1]Sheet1!$C$1:$D$191,2,FALSE)</f>
        <v>152</v>
      </c>
    </row>
    <row r="1070" spans="1:39" x14ac:dyDescent="0.35">
      <c r="A1070">
        <v>2015</v>
      </c>
      <c r="B1070" t="s">
        <v>156</v>
      </c>
      <c r="C1070">
        <v>153</v>
      </c>
      <c r="D1070" t="s">
        <v>333</v>
      </c>
      <c r="E1070">
        <v>744977.477954</v>
      </c>
      <c r="G1070">
        <v>744977.477954</v>
      </c>
      <c r="H1070">
        <v>91030967789.071701</v>
      </c>
      <c r="I1070">
        <v>91030967789.071701</v>
      </c>
      <c r="J1070">
        <v>-9.7729872110351029E-2</v>
      </c>
      <c r="K1070">
        <v>2094.47387695313</v>
      </c>
      <c r="L1070">
        <v>-9.276862047392162E-2</v>
      </c>
      <c r="M1070">
        <v>2308.6435546875</v>
      </c>
      <c r="N1070">
        <v>48.699864643442403</v>
      </c>
      <c r="O1070">
        <v>107.806616298156</v>
      </c>
      <c r="P1070">
        <v>56.657754131520399</v>
      </c>
      <c r="Q1070">
        <v>37.368753218435202</v>
      </c>
      <c r="R1070">
        <v>45784896</v>
      </c>
      <c r="S1070">
        <v>-4.0781878162496699E-3</v>
      </c>
      <c r="T1070">
        <v>20.58</v>
      </c>
      <c r="U1070">
        <v>5.7</v>
      </c>
      <c r="V1070">
        <v>87.120945000000006</v>
      </c>
      <c r="W1070">
        <v>3.40368</v>
      </c>
      <c r="X1070">
        <v>40.435119999999998</v>
      </c>
      <c r="Y1070">
        <v>48.884599999999999</v>
      </c>
      <c r="Z1070">
        <v>76.864655647692899</v>
      </c>
      <c r="AF1070">
        <v>1</v>
      </c>
      <c r="AJ1070">
        <v>-0.87357378005981445</v>
      </c>
      <c r="AK1070">
        <v>-0.61887335777282715</v>
      </c>
      <c r="AL1070">
        <v>6.6422200000000001E-2</v>
      </c>
      <c r="AM1070">
        <f>VLOOKUP(D1070,[1]Sheet1!$C$1:$D$191,2,FALSE)</f>
        <v>153</v>
      </c>
    </row>
    <row r="1071" spans="1:39" x14ac:dyDescent="0.35">
      <c r="A1071">
        <v>2016</v>
      </c>
      <c r="B1071" t="s">
        <v>156</v>
      </c>
      <c r="C1071">
        <v>153</v>
      </c>
      <c r="D1071" t="s">
        <v>333</v>
      </c>
      <c r="E1071">
        <v>509702.76072271058</v>
      </c>
      <c r="G1071">
        <v>509702.76072271063</v>
      </c>
      <c r="H1071">
        <v>93253017276.778</v>
      </c>
      <c r="I1071">
        <v>93355869403.922302</v>
      </c>
      <c r="J1071">
        <v>2.4409819445784874E-2</v>
      </c>
      <c r="K1071">
        <v>2156.0830078125</v>
      </c>
      <c r="L1071">
        <v>2.9415086784941879E-2</v>
      </c>
      <c r="M1071">
        <v>2094.47387695313</v>
      </c>
      <c r="N1071">
        <v>13.912710199779699</v>
      </c>
      <c r="O1071">
        <v>105.52120491312201</v>
      </c>
      <c r="P1071">
        <v>47.307130093336603</v>
      </c>
      <c r="Q1071">
        <v>33.5044167207813</v>
      </c>
      <c r="R1071">
        <v>45616832</v>
      </c>
      <c r="S1071">
        <v>-3.6707301901482969E-3</v>
      </c>
      <c r="T1071">
        <v>19.87</v>
      </c>
      <c r="U1071">
        <v>5.7</v>
      </c>
      <c r="V1071">
        <v>88.766326000000007</v>
      </c>
      <c r="W1071">
        <v>5.6933350000000003</v>
      </c>
      <c r="X1071">
        <v>38.264159999999997</v>
      </c>
      <c r="Y1071">
        <v>53.000999999999998</v>
      </c>
      <c r="Z1071">
        <v>77.039837469543798</v>
      </c>
      <c r="AF1071">
        <v>1</v>
      </c>
      <c r="AJ1071">
        <v>-0.81724506616592407</v>
      </c>
      <c r="AK1071">
        <v>-0.41062274575233459</v>
      </c>
      <c r="AL1071">
        <v>0.15420980000000001</v>
      </c>
      <c r="AM1071">
        <f>VLOOKUP(D1071,[1]Sheet1!$C$1:$D$191,2,FALSE)</f>
        <v>153</v>
      </c>
    </row>
    <row r="1072" spans="1:39" x14ac:dyDescent="0.35">
      <c r="A1072">
        <v>2017</v>
      </c>
      <c r="B1072" t="s">
        <v>156</v>
      </c>
      <c r="C1072">
        <v>153</v>
      </c>
      <c r="D1072" t="s">
        <v>333</v>
      </c>
      <c r="E1072">
        <v>1734556.6850608571</v>
      </c>
      <c r="F1072">
        <v>254867.410778688</v>
      </c>
      <c r="G1072">
        <v>1989424.0958395454</v>
      </c>
      <c r="H1072">
        <v>95453762635.701294</v>
      </c>
      <c r="I1072">
        <v>112090505081.739</v>
      </c>
      <c r="J1072">
        <v>2.3599722809948445E-2</v>
      </c>
      <c r="K1072">
        <v>2217.7529296875</v>
      </c>
      <c r="L1072">
        <v>2.8602758637557527E-2</v>
      </c>
      <c r="M1072">
        <v>2156.0830078125</v>
      </c>
      <c r="N1072">
        <v>14.438322748874899</v>
      </c>
      <c r="O1072">
        <v>104.034982911399</v>
      </c>
      <c r="P1072">
        <v>38.305147298538799</v>
      </c>
      <c r="Q1072">
        <v>33.606206437819097</v>
      </c>
      <c r="R1072">
        <v>45436041</v>
      </c>
      <c r="S1072">
        <v>-3.9632519855828654E-3</v>
      </c>
      <c r="U1072">
        <v>5.69</v>
      </c>
      <c r="V1072">
        <v>97.828137999999996</v>
      </c>
      <c r="W1072">
        <v>6.3867669999999999</v>
      </c>
      <c r="X1072">
        <v>42.07696</v>
      </c>
      <c r="Y1072">
        <v>58.889499999999998</v>
      </c>
      <c r="Z1072">
        <v>80.199024694339101</v>
      </c>
      <c r="AF1072">
        <v>1</v>
      </c>
      <c r="AJ1072">
        <v>-0.75603193044662476</v>
      </c>
      <c r="AK1072">
        <v>-0.28177455067634583</v>
      </c>
      <c r="AL1072">
        <v>8.7984025000000007E-2</v>
      </c>
      <c r="AM1072">
        <f>VLOOKUP(D1072,[1]Sheet1!$C$1:$D$191,2,FALSE)</f>
        <v>153</v>
      </c>
    </row>
    <row r="1073" spans="1:39" x14ac:dyDescent="0.35">
      <c r="A1073">
        <v>2018</v>
      </c>
      <c r="B1073" t="s">
        <v>156</v>
      </c>
      <c r="C1073">
        <v>153</v>
      </c>
      <c r="D1073" t="s">
        <v>333</v>
      </c>
      <c r="E1073">
        <v>1029291.976032</v>
      </c>
      <c r="F1073">
        <v>25864482.534949999</v>
      </c>
      <c r="G1073">
        <v>26893774.510981999</v>
      </c>
      <c r="H1073">
        <v>98783535745.586105</v>
      </c>
      <c r="I1073">
        <v>130891088293.55</v>
      </c>
      <c r="J1073">
        <v>3.4883623420827008E-2</v>
      </c>
      <c r="K1073">
        <v>2308.6669921875</v>
      </c>
      <c r="L1073">
        <v>4.0993774050750796E-2</v>
      </c>
      <c r="M1073">
        <v>2217.7529296875</v>
      </c>
      <c r="N1073">
        <v>10.9518559353178</v>
      </c>
      <c r="O1073">
        <v>99.199815071867505</v>
      </c>
      <c r="P1073">
        <v>34.511858640982702</v>
      </c>
      <c r="Q1073">
        <v>33.408719112658098</v>
      </c>
      <c r="R1073">
        <v>45208907</v>
      </c>
      <c r="S1073">
        <v>-4.9989830760122783E-3</v>
      </c>
      <c r="T1073">
        <v>41.793999999999997</v>
      </c>
      <c r="U1073">
        <v>5.69</v>
      </c>
      <c r="V1073">
        <v>97.386985999999993</v>
      </c>
      <c r="W1073">
        <v>8.2019149999999996</v>
      </c>
      <c r="X1073">
        <v>44.692959999999999</v>
      </c>
      <c r="Y1073">
        <v>62.553199999999997</v>
      </c>
      <c r="Z1073">
        <v>81.494671621044603</v>
      </c>
      <c r="AF1073">
        <v>1</v>
      </c>
      <c r="AJ1073">
        <v>-0.76034188270568848</v>
      </c>
      <c r="AK1073">
        <v>-0.25626698136329651</v>
      </c>
      <c r="AL1073">
        <v>5.1648749999999993E-2</v>
      </c>
      <c r="AM1073">
        <f>VLOOKUP(D1073,[1]Sheet1!$C$1:$D$191,2,FALSE)</f>
        <v>153</v>
      </c>
    </row>
    <row r="1074" spans="1:39" x14ac:dyDescent="0.35">
      <c r="A1074">
        <v>2019</v>
      </c>
      <c r="B1074" t="s">
        <v>156</v>
      </c>
      <c r="C1074">
        <v>153</v>
      </c>
      <c r="D1074" t="s">
        <v>333</v>
      </c>
      <c r="E1074">
        <v>3614956.3850017199</v>
      </c>
      <c r="F1074">
        <v>538965471.51937747</v>
      </c>
      <c r="G1074">
        <v>542580427.90437913</v>
      </c>
      <c r="H1074">
        <v>101944118787.095</v>
      </c>
      <c r="I1074">
        <v>153883047509.577</v>
      </c>
      <c r="J1074">
        <v>3.1995038623125194E-2</v>
      </c>
      <c r="K1074">
        <v>2398.07836914063</v>
      </c>
      <c r="L1074">
        <v>3.872857248606966E-2</v>
      </c>
      <c r="M1074">
        <v>2308.6669921875</v>
      </c>
      <c r="N1074">
        <v>7.88671745611133</v>
      </c>
      <c r="O1074">
        <v>90.511234291076306</v>
      </c>
      <c r="P1074">
        <v>30.027068588017698</v>
      </c>
      <c r="Q1074">
        <v>33.057438930624002</v>
      </c>
      <c r="R1074">
        <v>44957458</v>
      </c>
      <c r="S1074">
        <v>-5.5619349523314066E-3</v>
      </c>
      <c r="T1074">
        <v>34.335000000000001</v>
      </c>
      <c r="U1074">
        <v>5.9</v>
      </c>
      <c r="V1074">
        <v>96.298248000000001</v>
      </c>
      <c r="W1074">
        <v>9.0357310000000002</v>
      </c>
      <c r="X1074">
        <v>47.37144</v>
      </c>
      <c r="Y1074">
        <v>70.124799999999993</v>
      </c>
      <c r="Z1074">
        <v>84.48135621115</v>
      </c>
      <c r="AF1074">
        <v>1</v>
      </c>
      <c r="AJ1074">
        <v>-0.74543553590774536</v>
      </c>
      <c r="AK1074">
        <v>-0.21664243936538699</v>
      </c>
      <c r="AL1074">
        <v>0.131358375</v>
      </c>
      <c r="AM1074">
        <f>VLOOKUP(D1074,[1]Sheet1!$C$1:$D$191,2,FALSE)</f>
        <v>153</v>
      </c>
    </row>
    <row r="1075" spans="1:39" x14ac:dyDescent="0.35">
      <c r="A1075">
        <v>2020</v>
      </c>
      <c r="B1075" t="s">
        <v>156</v>
      </c>
      <c r="C1075">
        <v>153</v>
      </c>
      <c r="D1075" t="s">
        <v>333</v>
      </c>
      <c r="E1075">
        <v>4264162.1018837709</v>
      </c>
      <c r="F1075">
        <v>396529259.45999998</v>
      </c>
      <c r="G1075">
        <v>400793421.56188381</v>
      </c>
      <c r="H1075">
        <v>98118341609.844803</v>
      </c>
      <c r="I1075">
        <v>156617722013.34201</v>
      </c>
      <c r="J1075">
        <v>-3.7528179386592524E-2</v>
      </c>
      <c r="K1075">
        <v>2324.107421875</v>
      </c>
      <c r="L1075">
        <v>-3.0845925728498216E-2</v>
      </c>
      <c r="M1075">
        <v>2398.07836914063</v>
      </c>
      <c r="N1075">
        <v>2.7324920941942699</v>
      </c>
      <c r="O1075">
        <v>79.156452376181505</v>
      </c>
      <c r="P1075">
        <v>28.175154245862799</v>
      </c>
      <c r="Q1075">
        <v>37.209204775148201</v>
      </c>
      <c r="R1075">
        <v>44680014</v>
      </c>
      <c r="S1075">
        <v>-6.1712563908751248E-3</v>
      </c>
      <c r="T1075">
        <v>33.244999999999997</v>
      </c>
      <c r="U1075">
        <v>5.81</v>
      </c>
      <c r="V1075">
        <v>93.739227999999997</v>
      </c>
      <c r="W1075">
        <v>6.9780100000000003</v>
      </c>
      <c r="X1075">
        <v>46.013849999999998</v>
      </c>
      <c r="Y1075">
        <v>75.037899999999993</v>
      </c>
      <c r="Z1075">
        <v>82.134599218073106</v>
      </c>
      <c r="AF1075">
        <v>1</v>
      </c>
      <c r="AJ1075">
        <v>-0.71314436197280884</v>
      </c>
      <c r="AK1075">
        <v>-0.26694333553314209</v>
      </c>
      <c r="AL1075">
        <v>3.8056000000000013E-2</v>
      </c>
      <c r="AM1075">
        <f>VLOOKUP(D1075,[1]Sheet1!$C$1:$D$191,2,FALSE)</f>
        <v>153</v>
      </c>
    </row>
    <row r="1076" spans="1:39" x14ac:dyDescent="0.35">
      <c r="A1076">
        <v>2015</v>
      </c>
      <c r="B1076" t="s">
        <v>157</v>
      </c>
      <c r="C1076">
        <v>154</v>
      </c>
      <c r="D1076" t="s">
        <v>372</v>
      </c>
      <c r="E1076">
        <v>186788</v>
      </c>
      <c r="G1076">
        <v>186788</v>
      </c>
      <c r="H1076">
        <v>3663000000</v>
      </c>
      <c r="I1076">
        <v>3663000000</v>
      </c>
      <c r="J1076">
        <v>-4.250797024442734E-3</v>
      </c>
      <c r="K1076">
        <v>34007.352941176498</v>
      </c>
      <c r="L1076">
        <v>-2.6792231561072809E-3</v>
      </c>
      <c r="M1076">
        <v>34098.710997273804</v>
      </c>
      <c r="O1076">
        <v>84.766584766584799</v>
      </c>
      <c r="R1076">
        <v>107712</v>
      </c>
      <c r="S1076">
        <v>-1.5757957768673179E-3</v>
      </c>
      <c r="V1076">
        <v>0</v>
      </c>
      <c r="W1076">
        <v>0</v>
      </c>
      <c r="X1076">
        <v>0</v>
      </c>
      <c r="Y1076">
        <v>54.839100000000002</v>
      </c>
      <c r="AJ1076">
        <v>0.83020007610321045</v>
      </c>
      <c r="AK1076">
        <v>0.524791419506073</v>
      </c>
      <c r="AM1076">
        <f>VLOOKUP(D1076,[1]Sheet1!$C$1:$D$191,2,FALSE)</f>
        <v>154</v>
      </c>
    </row>
    <row r="1077" spans="1:39" x14ac:dyDescent="0.35">
      <c r="A1077">
        <v>2016</v>
      </c>
      <c r="B1077" t="s">
        <v>157</v>
      </c>
      <c r="C1077">
        <v>154</v>
      </c>
      <c r="D1077" t="s">
        <v>372</v>
      </c>
      <c r="E1077">
        <v>3471</v>
      </c>
      <c r="G1077">
        <v>3471</v>
      </c>
      <c r="H1077">
        <v>3721639274.2796202</v>
      </c>
      <c r="I1077">
        <v>3798000000</v>
      </c>
      <c r="J1077">
        <v>1.6008537886874192E-2</v>
      </c>
      <c r="K1077">
        <v>34614.748263324698</v>
      </c>
      <c r="L1077">
        <v>1.7860705689114641E-2</v>
      </c>
      <c r="M1077">
        <v>34007.352941176498</v>
      </c>
      <c r="O1077">
        <v>113.296471827278</v>
      </c>
      <c r="R1077">
        <v>107516</v>
      </c>
      <c r="S1077">
        <v>-1.8196672608437315E-3</v>
      </c>
      <c r="V1077">
        <v>0</v>
      </c>
      <c r="W1077">
        <v>0</v>
      </c>
      <c r="X1077">
        <v>0</v>
      </c>
      <c r="Y1077">
        <v>59.6083</v>
      </c>
      <c r="AJ1077">
        <v>0.57782483100891113</v>
      </c>
      <c r="AK1077">
        <v>0.86047673225402832</v>
      </c>
      <c r="AM1077">
        <f>VLOOKUP(D1077,[1]Sheet1!$C$1:$D$191,2,FALSE)</f>
        <v>154</v>
      </c>
    </row>
    <row r="1078" spans="1:39" x14ac:dyDescent="0.35">
      <c r="A1078">
        <v>2017</v>
      </c>
      <c r="B1078" t="s">
        <v>157</v>
      </c>
      <c r="C1078">
        <v>154</v>
      </c>
      <c r="D1078" t="s">
        <v>372</v>
      </c>
      <c r="E1078">
        <v>58207</v>
      </c>
      <c r="G1078">
        <v>58207</v>
      </c>
      <c r="H1078">
        <v>3694274279.6157999</v>
      </c>
      <c r="I1078">
        <v>3794000000</v>
      </c>
      <c r="J1078">
        <v>-7.3529411764704624E-3</v>
      </c>
      <c r="K1078">
        <v>34435.494445575598</v>
      </c>
      <c r="L1078">
        <v>-5.1785388235518395E-3</v>
      </c>
      <c r="M1078">
        <v>34614.748263324698</v>
      </c>
      <c r="O1078">
        <v>157.69636267791299</v>
      </c>
      <c r="R1078">
        <v>107281</v>
      </c>
      <c r="S1078">
        <v>-2.1857211949849326E-3</v>
      </c>
      <c r="V1078">
        <v>0</v>
      </c>
      <c r="W1078">
        <v>0</v>
      </c>
      <c r="X1078">
        <v>0</v>
      </c>
      <c r="Y1078">
        <v>64.377499999999998</v>
      </c>
      <c r="AJ1078">
        <v>0.57449823617935181</v>
      </c>
      <c r="AK1078">
        <v>0.83170551061630249</v>
      </c>
      <c r="AM1078">
        <f>VLOOKUP(D1078,[1]Sheet1!$C$1:$D$191,2,FALSE)</f>
        <v>154</v>
      </c>
    </row>
    <row r="1079" spans="1:39" x14ac:dyDescent="0.35">
      <c r="A1079">
        <v>2018</v>
      </c>
      <c r="B1079" t="s">
        <v>157</v>
      </c>
      <c r="C1079">
        <v>154</v>
      </c>
      <c r="D1079" t="s">
        <v>372</v>
      </c>
      <c r="E1079">
        <v>1183935.29</v>
      </c>
      <c r="G1079">
        <v>1183935.29</v>
      </c>
      <c r="H1079">
        <v>3763664087.51334</v>
      </c>
      <c r="I1079">
        <v>3923000000</v>
      </c>
      <c r="J1079">
        <v>1.8783068783067333E-2</v>
      </c>
      <c r="K1079">
        <v>35174.101994498596</v>
      </c>
      <c r="L1079">
        <v>2.1449018253254612E-2</v>
      </c>
      <c r="M1079">
        <v>34435.494445575598</v>
      </c>
      <c r="O1079">
        <v>159.24037726229901</v>
      </c>
      <c r="R1079">
        <v>107001</v>
      </c>
      <c r="S1079">
        <v>-2.6099682143156757E-3</v>
      </c>
      <c r="V1079">
        <v>0</v>
      </c>
      <c r="W1079">
        <v>0</v>
      </c>
      <c r="X1079">
        <v>0</v>
      </c>
      <c r="AJ1079">
        <v>1.0566844940185549</v>
      </c>
      <c r="AK1079">
        <v>0.81393629312515259</v>
      </c>
      <c r="AM1079">
        <f>VLOOKUP(D1079,[1]Sheet1!$C$1:$D$191,2,FALSE)</f>
        <v>154</v>
      </c>
    </row>
    <row r="1080" spans="1:39" x14ac:dyDescent="0.35">
      <c r="A1080">
        <v>2020</v>
      </c>
      <c r="B1080" t="s">
        <v>157</v>
      </c>
      <c r="C1080">
        <v>154</v>
      </c>
      <c r="D1080" t="s">
        <v>372</v>
      </c>
      <c r="E1080">
        <v>28960</v>
      </c>
      <c r="G1080">
        <v>28960</v>
      </c>
      <c r="H1080">
        <v>3810575506.9370298</v>
      </c>
      <c r="I1080">
        <v>4229000000</v>
      </c>
      <c r="J1080">
        <v>-1.6149381781478712E-2</v>
      </c>
      <c r="K1080">
        <v>35850.7433148653</v>
      </c>
      <c r="L1080">
        <v>-1.2641249461364551E-2</v>
      </c>
      <c r="M1080">
        <v>36309.743844684199</v>
      </c>
      <c r="O1080">
        <v>113.596594939702</v>
      </c>
      <c r="R1080">
        <v>106290</v>
      </c>
      <c r="S1080">
        <v>-3.5530472770908136E-3</v>
      </c>
      <c r="V1080">
        <v>0</v>
      </c>
      <c r="W1080">
        <v>0</v>
      </c>
      <c r="X1080">
        <v>0</v>
      </c>
      <c r="AJ1080">
        <v>0.87014132738113403</v>
      </c>
      <c r="AK1080">
        <v>1.3354213237762449</v>
      </c>
      <c r="AM1080">
        <f>VLOOKUP(D1080,[1]Sheet1!$C$1:$D$191,2,FALSE)</f>
        <v>154</v>
      </c>
    </row>
    <row r="1081" spans="1:39" x14ac:dyDescent="0.35">
      <c r="A1081">
        <v>2016</v>
      </c>
      <c r="B1081" t="s">
        <v>158</v>
      </c>
      <c r="C1081">
        <v>155</v>
      </c>
      <c r="D1081" t="s">
        <v>334</v>
      </c>
      <c r="E1081">
        <v>21116</v>
      </c>
      <c r="F1081">
        <v>4493244</v>
      </c>
      <c r="G1081">
        <v>4514360</v>
      </c>
      <c r="H1081">
        <v>26085259688.337299</v>
      </c>
      <c r="I1081">
        <v>26556545153.3573</v>
      </c>
      <c r="J1081">
        <v>7.9055011613071588E-2</v>
      </c>
      <c r="K1081">
        <v>1645.4667157812601</v>
      </c>
      <c r="L1081">
        <v>6.3430062761707387E-2</v>
      </c>
      <c r="M1081">
        <v>1547.3201044439299</v>
      </c>
      <c r="N1081">
        <v>3.0191397513912799</v>
      </c>
      <c r="O1081">
        <v>122.704555602667</v>
      </c>
      <c r="P1081">
        <v>61.5608886370159</v>
      </c>
      <c r="Q1081">
        <v>9.7908213693419306</v>
      </c>
      <c r="R1081">
        <v>15852803</v>
      </c>
      <c r="S1081">
        <v>1.4692972672589079E-2</v>
      </c>
      <c r="T1081">
        <v>81.644999999999996</v>
      </c>
      <c r="U1081">
        <v>4.2699999999999996</v>
      </c>
      <c r="V1081">
        <v>14.485974000000001</v>
      </c>
      <c r="W1081">
        <v>6.0912610000000003</v>
      </c>
      <c r="X1081">
        <v>39.15466</v>
      </c>
      <c r="Y1081">
        <v>32.398499999999999</v>
      </c>
      <c r="AJ1081">
        <v>-1.0815989971160891</v>
      </c>
      <c r="AK1081">
        <v>-0.49356111884117132</v>
      </c>
      <c r="AL1081">
        <v>0</v>
      </c>
      <c r="AM1081">
        <f>VLOOKUP(D1081,[1]Sheet1!$C$1:$D$191,2,FALSE)</f>
        <v>155</v>
      </c>
    </row>
    <row r="1082" spans="1:39" x14ac:dyDescent="0.35">
      <c r="A1082">
        <v>2017</v>
      </c>
      <c r="B1082" t="s">
        <v>158</v>
      </c>
      <c r="C1082">
        <v>155</v>
      </c>
      <c r="D1082" t="s">
        <v>334</v>
      </c>
      <c r="E1082">
        <v>357850</v>
      </c>
      <c r="F1082">
        <v>8189679</v>
      </c>
      <c r="G1082">
        <v>8547529</v>
      </c>
      <c r="H1082">
        <v>28191654621.9478</v>
      </c>
      <c r="I1082">
        <v>29355665909.790501</v>
      </c>
      <c r="J1082">
        <v>8.0750391553597145E-2</v>
      </c>
      <c r="K1082">
        <v>1753.93530504662</v>
      </c>
      <c r="L1082">
        <v>6.5919649559036828E-2</v>
      </c>
      <c r="M1082">
        <v>1645.4667157812601</v>
      </c>
      <c r="N1082">
        <v>2.91263557371478</v>
      </c>
      <c r="O1082">
        <v>121.155451298689</v>
      </c>
      <c r="P1082">
        <v>65.462720532354794</v>
      </c>
      <c r="Q1082">
        <v>10.7989673791136</v>
      </c>
      <c r="R1082">
        <v>16073372</v>
      </c>
      <c r="S1082">
        <v>1.3913564686320773E-2</v>
      </c>
      <c r="T1082">
        <v>79.944999999999993</v>
      </c>
      <c r="U1082">
        <v>3.63</v>
      </c>
      <c r="V1082">
        <v>16.722892999999999</v>
      </c>
      <c r="W1082">
        <v>5.4008950000000002</v>
      </c>
      <c r="X1082">
        <v>43.086460000000002</v>
      </c>
      <c r="Y1082">
        <v>32.900300000000001</v>
      </c>
      <c r="Z1082">
        <v>12.518152998186199</v>
      </c>
      <c r="AJ1082">
        <v>-1.074150919914246</v>
      </c>
      <c r="AK1082">
        <v>-0.52175122499465942</v>
      </c>
      <c r="AL1082">
        <v>5.9383850000000002E-2</v>
      </c>
      <c r="AM1082">
        <f>VLOOKUP(D1082,[1]Sheet1!$C$1:$D$191,2,FALSE)</f>
        <v>155</v>
      </c>
    </row>
    <row r="1083" spans="1:39" x14ac:dyDescent="0.35">
      <c r="A1083">
        <v>2018</v>
      </c>
      <c r="B1083" t="s">
        <v>158</v>
      </c>
      <c r="C1083">
        <v>155</v>
      </c>
      <c r="D1083" t="s">
        <v>334</v>
      </c>
      <c r="E1083">
        <v>327807.54296699999</v>
      </c>
      <c r="F1083">
        <v>9661398.1169479992</v>
      </c>
      <c r="G1083">
        <v>9989205.6599150002</v>
      </c>
      <c r="H1083">
        <v>30665817313.849098</v>
      </c>
      <c r="I1083">
        <v>33145892168.895802</v>
      </c>
      <c r="J1083">
        <v>8.776223762244556E-2</v>
      </c>
      <c r="K1083">
        <v>1884.28374817086</v>
      </c>
      <c r="L1083">
        <v>7.4317703024271653E-2</v>
      </c>
      <c r="M1083">
        <v>1753.93530504662</v>
      </c>
      <c r="N1083">
        <v>2.45908515380146</v>
      </c>
      <c r="O1083">
        <v>118.43765541305</v>
      </c>
      <c r="P1083">
        <v>73.816426973472701</v>
      </c>
      <c r="Q1083">
        <v>10.7640676815512</v>
      </c>
      <c r="R1083">
        <v>16274522</v>
      </c>
      <c r="S1083">
        <v>1.2514486692649185E-2</v>
      </c>
      <c r="U1083">
        <v>3.59</v>
      </c>
      <c r="V1083">
        <v>19.446083999999999</v>
      </c>
      <c r="W1083">
        <v>5.5289289999999998</v>
      </c>
      <c r="X1083">
        <v>43.504660000000001</v>
      </c>
      <c r="Z1083">
        <v>13.267173707776299</v>
      </c>
      <c r="AJ1083">
        <v>-1.1350082159042361</v>
      </c>
      <c r="AK1083">
        <v>-0.53690451383590698</v>
      </c>
      <c r="AL1083">
        <v>2.5373375E-2</v>
      </c>
      <c r="AM1083">
        <f>VLOOKUP(D1083,[1]Sheet1!$C$1:$D$191,2,FALSE)</f>
        <v>155</v>
      </c>
    </row>
    <row r="1084" spans="1:39" x14ac:dyDescent="0.35">
      <c r="A1084">
        <v>2019</v>
      </c>
      <c r="B1084" t="s">
        <v>158</v>
      </c>
      <c r="C1084">
        <v>155</v>
      </c>
      <c r="D1084" t="s">
        <v>334</v>
      </c>
      <c r="E1084">
        <v>253074.12982013001</v>
      </c>
      <c r="F1084">
        <v>4397002.4967700001</v>
      </c>
      <c r="G1084">
        <v>4650076.6265901299</v>
      </c>
      <c r="H1084">
        <v>33099747942.811001</v>
      </c>
      <c r="I1084">
        <v>36685356407.720596</v>
      </c>
      <c r="J1084">
        <v>7.9369501358853609E-2</v>
      </c>
      <c r="K1084">
        <v>2008.3209400670601</v>
      </c>
      <c r="L1084">
        <v>6.5827236485273138E-2</v>
      </c>
      <c r="M1084">
        <v>1884.28374817086</v>
      </c>
      <c r="N1084">
        <v>1.94257500833107</v>
      </c>
      <c r="O1084">
        <v>115.736679072448</v>
      </c>
      <c r="P1084">
        <v>84.323673857974896</v>
      </c>
      <c r="Q1084">
        <v>11.650091807198599</v>
      </c>
      <c r="R1084">
        <v>16481304</v>
      </c>
      <c r="S1084">
        <v>1.2705872405960678E-2</v>
      </c>
      <c r="T1084">
        <v>80.195999999999998</v>
      </c>
      <c r="U1084">
        <v>3.53</v>
      </c>
      <c r="V1084">
        <v>23.275959</v>
      </c>
      <c r="W1084">
        <v>5.7152779999999996</v>
      </c>
      <c r="X1084">
        <v>42.921250000000001</v>
      </c>
      <c r="Y1084">
        <v>52.305900000000001</v>
      </c>
      <c r="Z1084">
        <v>12.940984675469601</v>
      </c>
      <c r="AJ1084">
        <v>-0.95492774248123169</v>
      </c>
      <c r="AK1084">
        <v>-0.60922056436538696</v>
      </c>
      <c r="AL1084">
        <v>5.4035399999999997E-2</v>
      </c>
      <c r="AM1084">
        <f>VLOOKUP(D1084,[1]Sheet1!$C$1:$D$191,2,FALSE)</f>
        <v>155</v>
      </c>
    </row>
    <row r="1085" spans="1:39" x14ac:dyDescent="0.35">
      <c r="A1085">
        <v>2020</v>
      </c>
      <c r="B1085" t="s">
        <v>158</v>
      </c>
      <c r="C1085">
        <v>155</v>
      </c>
      <c r="D1085" t="s">
        <v>334</v>
      </c>
      <c r="E1085">
        <v>280502.66339166998</v>
      </c>
      <c r="F1085">
        <v>4506470.8026000001</v>
      </c>
      <c r="G1085">
        <v>4786973.4659916703</v>
      </c>
      <c r="H1085">
        <v>31922812945.0881</v>
      </c>
      <c r="I1085">
        <v>34818073901.4851</v>
      </c>
      <c r="J1085">
        <v>-3.5557219340654263E-2</v>
      </c>
      <c r="K1085">
        <v>1908.6342751833599</v>
      </c>
      <c r="L1085">
        <v>-4.9636819939930257E-2</v>
      </c>
      <c r="M1085">
        <v>2008.3209400670601</v>
      </c>
      <c r="N1085">
        <v>2.9402951426396999</v>
      </c>
      <c r="O1085">
        <v>122.105396346568</v>
      </c>
      <c r="P1085">
        <v>103.732769960087</v>
      </c>
      <c r="Q1085">
        <v>12.937580446301199</v>
      </c>
      <c r="R1085">
        <v>16725474</v>
      </c>
      <c r="S1085">
        <v>1.481496852433521E-2</v>
      </c>
      <c r="T1085">
        <v>81.885999999999996</v>
      </c>
      <c r="U1085">
        <v>3.1</v>
      </c>
      <c r="V1085">
        <v>26.349430000000002</v>
      </c>
      <c r="W1085">
        <v>5.5395479999999999</v>
      </c>
      <c r="X1085">
        <v>42.036000000000001</v>
      </c>
      <c r="Y1085">
        <v>53.650799999999997</v>
      </c>
      <c r="Z1085">
        <v>13.876757374713501</v>
      </c>
      <c r="AJ1085">
        <v>-0.96412593126296997</v>
      </c>
      <c r="AK1085">
        <v>-0.66110885143280029</v>
      </c>
      <c r="AL1085">
        <v>4.8091074999999997E-2</v>
      </c>
      <c r="AM1085">
        <f>VLOOKUP(D1085,[1]Sheet1!$C$1:$D$191,2,FALSE)</f>
        <v>155</v>
      </c>
    </row>
    <row r="1086" spans="1:39" x14ac:dyDescent="0.35">
      <c r="A1086">
        <v>2016</v>
      </c>
      <c r="B1086" t="s">
        <v>159</v>
      </c>
      <c r="C1086">
        <v>156</v>
      </c>
      <c r="D1086" t="s">
        <v>335</v>
      </c>
      <c r="F1086">
        <v>4848275</v>
      </c>
      <c r="G1086">
        <v>4848275</v>
      </c>
      <c r="H1086">
        <v>24033351541.723999</v>
      </c>
      <c r="I1086">
        <v>24191430000</v>
      </c>
      <c r="J1086">
        <v>2.5390624113585277E-2</v>
      </c>
      <c r="K1086">
        <v>3875.8469135795399</v>
      </c>
      <c r="L1086">
        <v>2.255892674432234E-2</v>
      </c>
      <c r="M1086">
        <v>3790.3408910816202</v>
      </c>
      <c r="N1086">
        <v>0.60404908699660997</v>
      </c>
      <c r="O1086">
        <v>72.819093373149101</v>
      </c>
      <c r="P1086">
        <v>55.059798007806897</v>
      </c>
      <c r="Q1086">
        <v>23.207903768624501</v>
      </c>
      <c r="R1086">
        <v>6200800</v>
      </c>
      <c r="S1086">
        <v>2.7692265894914288E-3</v>
      </c>
      <c r="T1086">
        <v>59.353000000000002</v>
      </c>
      <c r="U1086">
        <v>6.64</v>
      </c>
      <c r="V1086">
        <v>36.612616000000003</v>
      </c>
      <c r="W1086">
        <v>4.8786269999999998</v>
      </c>
      <c r="X1086">
        <v>80.480130000000003</v>
      </c>
      <c r="Y1086">
        <v>28.9971</v>
      </c>
      <c r="Z1086">
        <v>27.179480247169501</v>
      </c>
      <c r="AJ1086">
        <v>-0.75797873735427856</v>
      </c>
      <c r="AK1086">
        <v>-5.0619147717952728E-2</v>
      </c>
      <c r="AL1086">
        <v>4.6058674999999993E-2</v>
      </c>
      <c r="AM1086">
        <f>VLOOKUP(D1086,[1]Sheet1!$C$1:$D$191,2,FALSE)</f>
        <v>156</v>
      </c>
    </row>
    <row r="1087" spans="1:39" x14ac:dyDescent="0.35">
      <c r="A1087">
        <v>2017</v>
      </c>
      <c r="B1087" t="s">
        <v>159</v>
      </c>
      <c r="C1087">
        <v>156</v>
      </c>
      <c r="D1087" t="s">
        <v>335</v>
      </c>
      <c r="E1087">
        <v>20211</v>
      </c>
      <c r="F1087">
        <v>5708525</v>
      </c>
      <c r="G1087">
        <v>5728736</v>
      </c>
      <c r="H1087">
        <v>24573529736.861698</v>
      </c>
      <c r="I1087">
        <v>24979190000</v>
      </c>
      <c r="J1087">
        <v>2.2476190813416206E-2</v>
      </c>
      <c r="K1087">
        <v>3954.8401427757199</v>
      </c>
      <c r="L1087">
        <v>2.03808950553276E-2</v>
      </c>
      <c r="M1087">
        <v>3875.8469135795399</v>
      </c>
      <c r="N1087">
        <v>1.0123540331558001</v>
      </c>
      <c r="O1087">
        <v>74.304651191651899</v>
      </c>
      <c r="P1087">
        <v>56.048677989798698</v>
      </c>
      <c r="Q1087">
        <v>24.843989900009301</v>
      </c>
      <c r="R1087">
        <v>6213533</v>
      </c>
      <c r="S1087">
        <v>2.0534447168107342E-3</v>
      </c>
      <c r="T1087">
        <v>59.177</v>
      </c>
      <c r="U1087">
        <v>6.43</v>
      </c>
      <c r="V1087">
        <v>37.239496000000003</v>
      </c>
      <c r="W1087">
        <v>6.3058690000000004</v>
      </c>
      <c r="X1087">
        <v>79.770049999999998</v>
      </c>
      <c r="Y1087">
        <v>33.820700000000002</v>
      </c>
      <c r="Z1087">
        <v>27.640910454900599</v>
      </c>
      <c r="AJ1087">
        <v>-0.87329190969467163</v>
      </c>
      <c r="AK1087">
        <v>-0.16997113823890689</v>
      </c>
      <c r="AL1087">
        <v>0.13559470000000001</v>
      </c>
      <c r="AM1087">
        <f>VLOOKUP(D1087,[1]Sheet1!$C$1:$D$191,2,FALSE)</f>
        <v>156</v>
      </c>
    </row>
    <row r="1088" spans="1:39" x14ac:dyDescent="0.35">
      <c r="A1088">
        <v>2018</v>
      </c>
      <c r="B1088" t="s">
        <v>159</v>
      </c>
      <c r="C1088">
        <v>156</v>
      </c>
      <c r="D1088" t="s">
        <v>335</v>
      </c>
      <c r="E1088">
        <v>8654.6</v>
      </c>
      <c r="F1088">
        <v>4660850</v>
      </c>
      <c r="G1088">
        <v>4669504.5999999996</v>
      </c>
      <c r="H1088">
        <v>25166352435.577301</v>
      </c>
      <c r="I1088">
        <v>26020850000</v>
      </c>
      <c r="J1088">
        <v>2.4124442237792764E-2</v>
      </c>
      <c r="K1088">
        <v>4046.1629172058301</v>
      </c>
      <c r="L1088">
        <v>2.3091394628662543E-2</v>
      </c>
      <c r="M1088">
        <v>3954.8401427757199</v>
      </c>
      <c r="N1088">
        <v>1.09033000581892</v>
      </c>
      <c r="O1088">
        <v>75.633616887995601</v>
      </c>
      <c r="P1088">
        <v>57.2770156356153</v>
      </c>
      <c r="Q1088">
        <v>24.727093849739699</v>
      </c>
      <c r="R1088">
        <v>6219807</v>
      </c>
      <c r="S1088">
        <v>1.0097315005810703E-3</v>
      </c>
      <c r="T1088">
        <v>58.313000000000002</v>
      </c>
      <c r="U1088">
        <v>5.96</v>
      </c>
      <c r="V1088">
        <v>35.245134</v>
      </c>
      <c r="W1088">
        <v>6.5438900000000002</v>
      </c>
      <c r="X1088">
        <v>71.844989999999996</v>
      </c>
      <c r="Y1088">
        <v>43.8</v>
      </c>
      <c r="Z1088">
        <v>28.194336537251999</v>
      </c>
      <c r="AJ1088">
        <v>-0.93031442165374756</v>
      </c>
      <c r="AK1088">
        <v>-1.6186896711587909E-2</v>
      </c>
      <c r="AL1088">
        <v>0.112716575</v>
      </c>
      <c r="AM1088">
        <f>VLOOKUP(D1088,[1]Sheet1!$C$1:$D$191,2,FALSE)</f>
        <v>156</v>
      </c>
    </row>
    <row r="1089" spans="1:39" x14ac:dyDescent="0.35">
      <c r="A1089">
        <v>2019</v>
      </c>
      <c r="B1089" t="s">
        <v>159</v>
      </c>
      <c r="C1089">
        <v>156</v>
      </c>
      <c r="D1089" t="s">
        <v>335</v>
      </c>
      <c r="E1089">
        <v>5031</v>
      </c>
      <c r="F1089">
        <v>5181125</v>
      </c>
      <c r="G1089">
        <v>5186156</v>
      </c>
      <c r="H1089">
        <v>25779775126.5993</v>
      </c>
      <c r="I1089">
        <v>26881140000</v>
      </c>
      <c r="J1089">
        <v>2.4374715906577415E-2</v>
      </c>
      <c r="K1089">
        <v>4143.1143709786702</v>
      </c>
      <c r="L1089">
        <v>2.3961332194649271E-2</v>
      </c>
      <c r="M1089">
        <v>4046.1629172058301</v>
      </c>
      <c r="N1089">
        <v>7.5324135002461198E-2</v>
      </c>
      <c r="O1089">
        <v>76.0420130991468</v>
      </c>
      <c r="P1089">
        <v>59.0743132128325</v>
      </c>
      <c r="Q1089">
        <v>24.759366604243699</v>
      </c>
      <c r="R1089">
        <v>6222318</v>
      </c>
      <c r="S1089">
        <v>4.0371027589762836E-4</v>
      </c>
      <c r="T1089">
        <v>59.884</v>
      </c>
      <c r="U1089">
        <v>6.15</v>
      </c>
      <c r="V1089">
        <v>35.676250000000003</v>
      </c>
      <c r="W1089">
        <v>6.675624</v>
      </c>
      <c r="X1089">
        <v>73.045330000000007</v>
      </c>
      <c r="Y1089">
        <v>50.491199999999999</v>
      </c>
      <c r="Z1089">
        <v>28.517806354593599</v>
      </c>
      <c r="AJ1089">
        <v>-0.86601364612579346</v>
      </c>
      <c r="AK1089">
        <v>-3.795044869184494E-2</v>
      </c>
      <c r="AL1089">
        <v>0.11576595000000001</v>
      </c>
      <c r="AM1089">
        <f>VLOOKUP(D1089,[1]Sheet1!$C$1:$D$191,2,FALSE)</f>
        <v>156</v>
      </c>
    </row>
    <row r="1090" spans="1:39" x14ac:dyDescent="0.35">
      <c r="A1090">
        <v>2020</v>
      </c>
      <c r="B1090" t="s">
        <v>159</v>
      </c>
      <c r="C1090">
        <v>156</v>
      </c>
      <c r="D1090" t="s">
        <v>335</v>
      </c>
      <c r="E1090">
        <v>42.06</v>
      </c>
      <c r="F1090">
        <v>3370675</v>
      </c>
      <c r="G1090">
        <v>3370717.06</v>
      </c>
      <c r="H1090">
        <v>23744951345.511002</v>
      </c>
      <c r="I1090">
        <v>24921190000</v>
      </c>
      <c r="J1090">
        <v>-7.8931013598671343E-2</v>
      </c>
      <c r="K1090">
        <v>3808.5319543640899</v>
      </c>
      <c r="L1090">
        <v>-8.075625885643764E-2</v>
      </c>
      <c r="M1090">
        <v>4143.1143709786702</v>
      </c>
      <c r="N1090">
        <v>-0.371590212324095</v>
      </c>
      <c r="O1090">
        <v>66.459506949708299</v>
      </c>
      <c r="P1090">
        <v>65.333222711114502</v>
      </c>
      <c r="Q1090">
        <v>33.944606979040699</v>
      </c>
      <c r="R1090">
        <v>6234673</v>
      </c>
      <c r="S1090">
        <v>1.9855944360285026E-3</v>
      </c>
      <c r="T1090">
        <v>55.817999999999998</v>
      </c>
      <c r="U1090">
        <v>5.9</v>
      </c>
      <c r="V1090">
        <v>36.291221999999998</v>
      </c>
      <c r="W1090">
        <v>6.3234029999999999</v>
      </c>
      <c r="X1090">
        <v>73.761510000000001</v>
      </c>
      <c r="Y1090">
        <v>54.601399999999998</v>
      </c>
      <c r="Z1090">
        <v>30.998637032401302</v>
      </c>
      <c r="AJ1090">
        <v>-0.77708542346954346</v>
      </c>
      <c r="AK1090">
        <v>-8.5243210196495056E-2</v>
      </c>
      <c r="AL1090">
        <v>8.6511975000000005E-2</v>
      </c>
      <c r="AM1090">
        <f>VLOOKUP(D1090,[1]Sheet1!$C$1:$D$191,2,FALSE)</f>
        <v>156</v>
      </c>
    </row>
    <row r="1091" spans="1:39" x14ac:dyDescent="0.35">
      <c r="A1091">
        <v>2016</v>
      </c>
      <c r="B1091" t="s">
        <v>160</v>
      </c>
      <c r="C1091">
        <v>157</v>
      </c>
      <c r="D1091" t="s">
        <v>336</v>
      </c>
      <c r="E1091">
        <v>6500</v>
      </c>
      <c r="G1091">
        <v>6500</v>
      </c>
      <c r="H1091">
        <v>186416677156.15201</v>
      </c>
      <c r="I1091">
        <v>137278320084.17101</v>
      </c>
      <c r="J1091">
        <v>1.099999999101654E-2</v>
      </c>
      <c r="K1091">
        <v>10151.423313302001</v>
      </c>
      <c r="L1091">
        <v>-4.3839520117165071E-3</v>
      </c>
      <c r="M1091">
        <v>10196.1226255982</v>
      </c>
      <c r="N1091">
        <v>14.3610942386247</v>
      </c>
      <c r="O1091">
        <v>60.311596586415298</v>
      </c>
      <c r="P1091">
        <v>33.030229820443203</v>
      </c>
      <c r="Q1091">
        <v>16.3309403041021</v>
      </c>
      <c r="R1091">
        <v>18363600</v>
      </c>
      <c r="S1091">
        <v>1.5451691476672221E-2</v>
      </c>
      <c r="U1091">
        <v>3.06</v>
      </c>
      <c r="V1091">
        <v>73.916058000000007</v>
      </c>
      <c r="W1091">
        <v>4.8462339999999999</v>
      </c>
      <c r="X1091">
        <v>49.385449999999999</v>
      </c>
      <c r="Y1091">
        <v>74.587699999999998</v>
      </c>
      <c r="Z1091">
        <v>46.049225882067397</v>
      </c>
      <c r="AF1091">
        <v>0</v>
      </c>
      <c r="AJ1091">
        <v>-0.51314949989318848</v>
      </c>
      <c r="AK1091">
        <v>-0.16123045980930331</v>
      </c>
      <c r="AL1091">
        <v>0.18608882500000001</v>
      </c>
      <c r="AM1091">
        <f>VLOOKUP(D1091,[1]Sheet1!$C$1:$D$191,2,FALSE)</f>
        <v>157</v>
      </c>
    </row>
    <row r="1092" spans="1:39" x14ac:dyDescent="0.35">
      <c r="A1092">
        <v>2017</v>
      </c>
      <c r="B1092" t="s">
        <v>160</v>
      </c>
      <c r="C1092">
        <v>157</v>
      </c>
      <c r="D1092" t="s">
        <v>336</v>
      </c>
      <c r="E1092">
        <v>84105</v>
      </c>
      <c r="F1092">
        <v>27565828</v>
      </c>
      <c r="G1092">
        <v>27649933</v>
      </c>
      <c r="H1092">
        <v>194059760924.35199</v>
      </c>
      <c r="I1092">
        <v>166805788827.233</v>
      </c>
      <c r="J1092">
        <v>4.1000000025736699E-2</v>
      </c>
      <c r="K1092">
        <v>10404.271864631701</v>
      </c>
      <c r="L1092">
        <v>2.4907694569132773E-2</v>
      </c>
      <c r="M1092">
        <v>10151.423313302001</v>
      </c>
      <c r="N1092">
        <v>7.4426632130679202</v>
      </c>
      <c r="O1092">
        <v>56.825387935971001</v>
      </c>
      <c r="P1092">
        <v>29.187597742989599</v>
      </c>
      <c r="Q1092">
        <v>19.026139208636501</v>
      </c>
      <c r="R1092">
        <v>18651931</v>
      </c>
      <c r="S1092">
        <v>1.5701224160839921E-2</v>
      </c>
      <c r="U1092">
        <v>3.06</v>
      </c>
      <c r="V1092">
        <v>74.585335000000001</v>
      </c>
      <c r="W1092">
        <v>4.8978679999999999</v>
      </c>
      <c r="X1092">
        <v>52.35868</v>
      </c>
      <c r="Y1092">
        <v>76.426699999999997</v>
      </c>
      <c r="Z1092">
        <v>49.971209228359498</v>
      </c>
      <c r="AF1092">
        <v>0</v>
      </c>
      <c r="AJ1092">
        <v>-0.48727560043334961</v>
      </c>
      <c r="AK1092">
        <v>0.1548576503992081</v>
      </c>
      <c r="AL1092">
        <v>0.15459780000000001</v>
      </c>
      <c r="AM1092">
        <f>VLOOKUP(D1092,[1]Sheet1!$C$1:$D$191,2,FALSE)</f>
        <v>157</v>
      </c>
    </row>
    <row r="1093" spans="1:39" x14ac:dyDescent="0.35">
      <c r="A1093">
        <v>2018</v>
      </c>
      <c r="B1093" t="s">
        <v>160</v>
      </c>
      <c r="C1093">
        <v>157</v>
      </c>
      <c r="D1093" t="s">
        <v>336</v>
      </c>
      <c r="E1093">
        <v>136926.58591200001</v>
      </c>
      <c r="F1093">
        <v>86835803.417250007</v>
      </c>
      <c r="G1093">
        <v>86972730.003162012</v>
      </c>
      <c r="H1093">
        <v>202016211108.85699</v>
      </c>
      <c r="I1093">
        <v>179339977690.48499</v>
      </c>
      <c r="J1093">
        <v>4.099999993098298E-2</v>
      </c>
      <c r="K1093">
        <v>10670.212014827899</v>
      </c>
      <c r="L1093">
        <v>2.5560669084420579E-2</v>
      </c>
      <c r="M1093">
        <v>10404.271864631701</v>
      </c>
      <c r="N1093">
        <v>6.1636624757775103</v>
      </c>
      <c r="O1093">
        <v>63.5279565118188</v>
      </c>
      <c r="P1093">
        <v>25.932533976381102</v>
      </c>
      <c r="Q1093">
        <v>14.705043307879199</v>
      </c>
      <c r="R1093">
        <v>18932727</v>
      </c>
      <c r="S1093">
        <v>1.5054527062104186E-2</v>
      </c>
      <c r="U1093">
        <v>2.94</v>
      </c>
      <c r="V1093">
        <v>84.260857000000001</v>
      </c>
      <c r="W1093">
        <v>4.5135529999999999</v>
      </c>
      <c r="X1093">
        <v>55.485619999999997</v>
      </c>
      <c r="Y1093">
        <v>78.903899999999993</v>
      </c>
      <c r="Z1093">
        <v>51.966263958706399</v>
      </c>
      <c r="AF1093">
        <v>0</v>
      </c>
      <c r="AI1093">
        <v>1</v>
      </c>
      <c r="AJ1093">
        <v>-0.50346642732620239</v>
      </c>
      <c r="AK1093">
        <v>9.4623871147632599E-2</v>
      </c>
      <c r="AL1093">
        <v>0.10835255000000001</v>
      </c>
      <c r="AM1093">
        <f>VLOOKUP(D1093,[1]Sheet1!$C$1:$D$191,2,FALSE)</f>
        <v>157</v>
      </c>
    </row>
    <row r="1094" spans="1:39" x14ac:dyDescent="0.35">
      <c r="A1094">
        <v>2019</v>
      </c>
      <c r="B1094" t="s">
        <v>160</v>
      </c>
      <c r="C1094">
        <v>157</v>
      </c>
      <c r="D1094" t="s">
        <v>336</v>
      </c>
      <c r="E1094">
        <v>662</v>
      </c>
      <c r="F1094">
        <v>260408536.82887131</v>
      </c>
      <c r="G1094">
        <v>260409198.82887131</v>
      </c>
      <c r="H1094">
        <v>211106940610.612</v>
      </c>
      <c r="I1094">
        <v>181667184854.50101</v>
      </c>
      <c r="J1094">
        <v>4.5000000009189557E-2</v>
      </c>
      <c r="K1094">
        <v>10989.684071838799</v>
      </c>
      <c r="L1094">
        <v>2.9940553811577945E-2</v>
      </c>
      <c r="M1094">
        <v>10670.212014827899</v>
      </c>
      <c r="N1094">
        <v>5.3335609891666902</v>
      </c>
      <c r="O1094">
        <v>64.858616551756498</v>
      </c>
      <c r="P1094">
        <v>24.266478602371102</v>
      </c>
      <c r="Q1094">
        <v>16.064212550936499</v>
      </c>
      <c r="R1094">
        <v>19209555</v>
      </c>
      <c r="S1094">
        <v>1.4621665436785732E-2</v>
      </c>
      <c r="U1094">
        <v>2.94</v>
      </c>
      <c r="V1094">
        <v>85.936537000000001</v>
      </c>
      <c r="W1094">
        <v>5.8863599999999998</v>
      </c>
      <c r="X1094">
        <v>52.173479999999998</v>
      </c>
      <c r="Y1094">
        <v>81.877600000000001</v>
      </c>
      <c r="Z1094">
        <v>57.342112378135099</v>
      </c>
      <c r="AF1094">
        <v>0</v>
      </c>
      <c r="AI1094">
        <v>1</v>
      </c>
      <c r="AJ1094">
        <v>-0.5100170373916626</v>
      </c>
      <c r="AK1094">
        <v>0.107311986386776</v>
      </c>
      <c r="AL1094">
        <v>8.7246274999999998E-2</v>
      </c>
      <c r="AM1094">
        <f>VLOOKUP(D1094,[1]Sheet1!$C$1:$D$191,2,FALSE)</f>
        <v>157</v>
      </c>
    </row>
    <row r="1095" spans="1:39" x14ac:dyDescent="0.35">
      <c r="A1095">
        <v>2020</v>
      </c>
      <c r="B1095" t="s">
        <v>160</v>
      </c>
      <c r="C1095">
        <v>157</v>
      </c>
      <c r="D1095" t="s">
        <v>336</v>
      </c>
      <c r="E1095">
        <v>11470.76</v>
      </c>
      <c r="F1095">
        <v>172733120.34009111</v>
      </c>
      <c r="G1095">
        <v>172744591.1000911</v>
      </c>
      <c r="H1095">
        <v>205829267103.20001</v>
      </c>
      <c r="I1095">
        <v>171082365861.423</v>
      </c>
      <c r="J1095">
        <v>-2.4999999962799363E-2</v>
      </c>
      <c r="K1095">
        <v>10565.0359816235</v>
      </c>
      <c r="L1095">
        <v>-3.8640609451500593E-2</v>
      </c>
      <c r="M1095">
        <v>10989.684071838799</v>
      </c>
      <c r="N1095">
        <v>6.7181545486146401</v>
      </c>
      <c r="O1095">
        <v>57.0264423660931</v>
      </c>
      <c r="P1095">
        <v>25.635231095202201</v>
      </c>
      <c r="Q1095">
        <v>16.832864268751401</v>
      </c>
      <c r="R1095">
        <v>19482117</v>
      </c>
      <c r="S1095">
        <v>1.4188876317020357E-2</v>
      </c>
      <c r="U1095">
        <v>3.14</v>
      </c>
      <c r="V1095">
        <v>95.774990000000003</v>
      </c>
      <c r="W1095">
        <v>5.2756699999999999</v>
      </c>
      <c r="X1095">
        <v>54.369210000000002</v>
      </c>
      <c r="Y1095">
        <v>85.942599999999999</v>
      </c>
      <c r="Z1095">
        <v>62.292137367231902</v>
      </c>
      <c r="AF1095">
        <v>0</v>
      </c>
      <c r="AI1095">
        <v>1</v>
      </c>
      <c r="AJ1095">
        <v>-0.46708986163139338</v>
      </c>
      <c r="AK1095">
        <v>0.10614655166864401</v>
      </c>
      <c r="AL1095">
        <v>5.5755800000000001E-2</v>
      </c>
      <c r="AM1095">
        <f>VLOOKUP(D1095,[1]Sheet1!$C$1:$D$191,2,FALSE)</f>
        <v>157</v>
      </c>
    </row>
    <row r="1096" spans="1:39" x14ac:dyDescent="0.35">
      <c r="A1096">
        <v>2016</v>
      </c>
      <c r="B1096" t="s">
        <v>161</v>
      </c>
      <c r="C1096">
        <v>158</v>
      </c>
      <c r="D1096" t="s">
        <v>373</v>
      </c>
      <c r="E1096">
        <v>169057.882836</v>
      </c>
      <c r="G1096">
        <v>169057.882836</v>
      </c>
      <c r="H1096">
        <v>63062062076.8293</v>
      </c>
      <c r="I1096">
        <v>62216885435.948799</v>
      </c>
      <c r="J1096">
        <v>4.9781904368162939E-2</v>
      </c>
      <c r="K1096">
        <v>108351.452158933</v>
      </c>
      <c r="L1096">
        <v>2.7397918015237718E-2</v>
      </c>
      <c r="M1096">
        <v>105462.01258442301</v>
      </c>
      <c r="N1096">
        <v>0.29083333333331701</v>
      </c>
      <c r="O1096">
        <v>348.43740937688898</v>
      </c>
      <c r="P1096">
        <v>96.253085944886095</v>
      </c>
      <c r="Q1096">
        <v>36.834891745434099</v>
      </c>
      <c r="R1096">
        <v>582014</v>
      </c>
      <c r="S1096">
        <v>2.1787066102063889E-2</v>
      </c>
      <c r="T1096">
        <v>39.423000000000002</v>
      </c>
      <c r="U1096">
        <v>8.81</v>
      </c>
      <c r="V1096" s="8">
        <v>110.56456</v>
      </c>
      <c r="W1096" s="8">
        <v>0.75368040000000003</v>
      </c>
      <c r="X1096" s="8">
        <v>33.52525</v>
      </c>
      <c r="Y1096">
        <v>98.136700000000005</v>
      </c>
      <c r="Z1096">
        <v>19.9203605651856</v>
      </c>
      <c r="AA1096">
        <v>2018</v>
      </c>
      <c r="AB1096">
        <v>2019</v>
      </c>
      <c r="AC1096">
        <v>0</v>
      </c>
      <c r="AD1096">
        <v>0</v>
      </c>
      <c r="AE1096">
        <v>1</v>
      </c>
      <c r="AF1096">
        <v>1</v>
      </c>
      <c r="AJ1096">
        <v>1.719837427139282</v>
      </c>
      <c r="AK1096">
        <v>1.710010766983032</v>
      </c>
      <c r="AM1096">
        <f>VLOOKUP(D1096,[1]Sheet1!$C$1:$D$191,2,FALSE)</f>
        <v>158</v>
      </c>
    </row>
    <row r="1097" spans="1:39" x14ac:dyDescent="0.35">
      <c r="A1097">
        <v>2017</v>
      </c>
      <c r="B1097" t="s">
        <v>161</v>
      </c>
      <c r="C1097">
        <v>158</v>
      </c>
      <c r="D1097" t="s">
        <v>373</v>
      </c>
      <c r="E1097">
        <v>220225.2215595</v>
      </c>
      <c r="G1097">
        <v>220225.2215595</v>
      </c>
      <c r="H1097">
        <v>63892707778.498802</v>
      </c>
      <c r="I1097">
        <v>65712180342.983597</v>
      </c>
      <c r="J1097">
        <v>1.3171876629367371E-2</v>
      </c>
      <c r="K1097">
        <v>107142.127556443</v>
      </c>
      <c r="L1097">
        <v>-1.1161129623958599E-2</v>
      </c>
      <c r="M1097">
        <v>108351.452158933</v>
      </c>
      <c r="N1097">
        <v>1.7307995911888701</v>
      </c>
      <c r="O1097">
        <v>353.79399198030302</v>
      </c>
      <c r="P1097">
        <v>100.473133493731</v>
      </c>
      <c r="Q1097">
        <v>37.758533855547</v>
      </c>
      <c r="R1097">
        <v>596336</v>
      </c>
      <c r="S1097">
        <v>2.4607655485950508E-2</v>
      </c>
      <c r="T1097">
        <v>36.621000000000002</v>
      </c>
      <c r="U1097">
        <v>8.81</v>
      </c>
      <c r="V1097" s="8">
        <v>115.47667</v>
      </c>
      <c r="W1097" s="8">
        <v>0.95535519999999996</v>
      </c>
      <c r="X1097" s="8">
        <v>33.582979999999999</v>
      </c>
      <c r="Y1097">
        <v>97.363</v>
      </c>
      <c r="Z1097">
        <v>19.5990200042725</v>
      </c>
      <c r="AA1097">
        <v>2018</v>
      </c>
      <c r="AB1097">
        <v>2019</v>
      </c>
      <c r="AC1097">
        <v>0</v>
      </c>
      <c r="AD1097">
        <v>0</v>
      </c>
      <c r="AE1097">
        <v>1</v>
      </c>
      <c r="AF1097">
        <v>1</v>
      </c>
      <c r="AJ1097">
        <v>1.6990904808044429</v>
      </c>
      <c r="AK1097">
        <v>1.681957483291626</v>
      </c>
      <c r="AM1097">
        <f>VLOOKUP(D1097,[1]Sheet1!$C$1:$D$191,2,FALSE)</f>
        <v>158</v>
      </c>
    </row>
    <row r="1098" spans="1:39" x14ac:dyDescent="0.35">
      <c r="A1098">
        <v>2018</v>
      </c>
      <c r="B1098" t="s">
        <v>161</v>
      </c>
      <c r="C1098">
        <v>158</v>
      </c>
      <c r="D1098" t="s">
        <v>373</v>
      </c>
      <c r="E1098">
        <v>259291.42430000001</v>
      </c>
      <c r="F1098">
        <v>4041222.0444999998</v>
      </c>
      <c r="G1098">
        <v>4300513.4687999999</v>
      </c>
      <c r="H1098">
        <v>64671765568.805801</v>
      </c>
      <c r="I1098">
        <v>71000359760.461105</v>
      </c>
      <c r="J1098">
        <v>1.219321918563558E-2</v>
      </c>
      <c r="K1098">
        <v>106376.78356576301</v>
      </c>
      <c r="L1098">
        <v>-7.1432592215121306E-3</v>
      </c>
      <c r="M1098">
        <v>107142.127556443</v>
      </c>
      <c r="N1098">
        <v>1.5281952430737999</v>
      </c>
      <c r="O1098">
        <v>362.42390450058502</v>
      </c>
      <c r="P1098">
        <v>105.621707523826</v>
      </c>
      <c r="Q1098">
        <v>38.7943071095563</v>
      </c>
      <c r="R1098">
        <v>607950</v>
      </c>
      <c r="S1098">
        <v>1.9475597649647177E-2</v>
      </c>
      <c r="T1098">
        <v>38.643000000000001</v>
      </c>
      <c r="U1098">
        <v>8.81</v>
      </c>
      <c r="V1098" s="8">
        <v>116.53941</v>
      </c>
      <c r="W1098" s="8">
        <v>0.80277989999999999</v>
      </c>
      <c r="X1098" s="8">
        <v>33.170409999999997</v>
      </c>
      <c r="Y1098">
        <v>97.061300000000003</v>
      </c>
      <c r="Z1098">
        <v>19.3915195465088</v>
      </c>
      <c r="AA1098">
        <v>2018</v>
      </c>
      <c r="AB1098">
        <v>2019</v>
      </c>
      <c r="AC1098">
        <v>1</v>
      </c>
      <c r="AD1098">
        <v>0</v>
      </c>
      <c r="AE1098">
        <v>1</v>
      </c>
      <c r="AF1098">
        <v>1</v>
      </c>
      <c r="AG1098">
        <v>0</v>
      </c>
      <c r="AJ1098">
        <v>1.767955899238586</v>
      </c>
      <c r="AK1098">
        <v>1.7491340637207029</v>
      </c>
      <c r="AM1098">
        <f>VLOOKUP(D1098,[1]Sheet1!$C$1:$D$191,2,FALSE)</f>
        <v>158</v>
      </c>
    </row>
    <row r="1099" spans="1:39" x14ac:dyDescent="0.35">
      <c r="A1099">
        <v>2019</v>
      </c>
      <c r="B1099" t="s">
        <v>161</v>
      </c>
      <c r="C1099">
        <v>158</v>
      </c>
      <c r="D1099" t="s">
        <v>373</v>
      </c>
      <c r="E1099">
        <v>11442957.70399126</v>
      </c>
      <c r="F1099">
        <v>3358764.09</v>
      </c>
      <c r="G1099">
        <v>14801721.79399126</v>
      </c>
      <c r="H1099">
        <v>66557495896.737801</v>
      </c>
      <c r="I1099">
        <v>69890505323.584198</v>
      </c>
      <c r="J1099">
        <v>2.9158479150004444E-2</v>
      </c>
      <c r="K1099">
        <v>107350.626687276</v>
      </c>
      <c r="L1099">
        <v>9.1546584590138404E-3</v>
      </c>
      <c r="M1099">
        <v>106376.78356576301</v>
      </c>
      <c r="N1099">
        <v>1.7433207565384801</v>
      </c>
      <c r="O1099">
        <v>382.34836920300302</v>
      </c>
      <c r="P1099">
        <v>108.98339523288</v>
      </c>
      <c r="Q1099">
        <v>39.513595766651797</v>
      </c>
      <c r="R1099">
        <v>620001</v>
      </c>
      <c r="S1099">
        <v>1.9822353811991118E-2</v>
      </c>
      <c r="T1099">
        <v>39.468000000000004</v>
      </c>
      <c r="U1099">
        <v>8.81</v>
      </c>
      <c r="V1099" s="8">
        <v>113.85032</v>
      </c>
      <c r="W1099" s="8">
        <v>1.0487219999999999</v>
      </c>
      <c r="X1099" s="8">
        <v>38.349469999999997</v>
      </c>
      <c r="Y1099">
        <v>97.120599999999996</v>
      </c>
      <c r="Z1099">
        <v>19.396949768066399</v>
      </c>
      <c r="AA1099">
        <v>2018</v>
      </c>
      <c r="AB1099">
        <v>2019</v>
      </c>
      <c r="AC1099">
        <v>1</v>
      </c>
      <c r="AD1099">
        <v>1</v>
      </c>
      <c r="AE1099">
        <v>1</v>
      </c>
      <c r="AF1099">
        <v>1</v>
      </c>
      <c r="AG1099">
        <v>1</v>
      </c>
      <c r="AH1099">
        <v>0</v>
      </c>
      <c r="AJ1099">
        <v>1.749558210372925</v>
      </c>
      <c r="AK1099">
        <v>1.6851100921630859</v>
      </c>
      <c r="AM1099">
        <f>VLOOKUP(D1099,[1]Sheet1!$C$1:$D$191,2,FALSE)</f>
        <v>158</v>
      </c>
    </row>
    <row r="1100" spans="1:39" x14ac:dyDescent="0.35">
      <c r="A1100">
        <v>2020</v>
      </c>
      <c r="B1100" t="s">
        <v>161</v>
      </c>
      <c r="C1100">
        <v>158</v>
      </c>
      <c r="D1100" t="s">
        <v>373</v>
      </c>
      <c r="E1100">
        <v>10507405.455255279</v>
      </c>
      <c r="F1100">
        <v>5711014.9596500006</v>
      </c>
      <c r="G1100">
        <v>16218420.41490528</v>
      </c>
      <c r="H1100">
        <v>65951935965.676498</v>
      </c>
      <c r="I1100">
        <v>73699366700.213394</v>
      </c>
      <c r="J1100">
        <v>-9.0982979888668356E-3</v>
      </c>
      <c r="K1100">
        <v>104616.03467800999</v>
      </c>
      <c r="L1100">
        <v>-2.547346106541298E-2</v>
      </c>
      <c r="M1100">
        <v>107350.626687276</v>
      </c>
      <c r="N1100">
        <v>0.81995730212703599</v>
      </c>
      <c r="O1100">
        <v>372.27140294364</v>
      </c>
      <c r="P1100">
        <v>110.16940339671</v>
      </c>
      <c r="Q1100">
        <v>42.823675935753002</v>
      </c>
      <c r="R1100">
        <v>630419</v>
      </c>
      <c r="S1100">
        <v>1.680319870451822E-2</v>
      </c>
      <c r="T1100">
        <v>40.435000000000002</v>
      </c>
      <c r="U1100">
        <v>8.68</v>
      </c>
      <c r="V1100" s="8">
        <v>107.13455999999999</v>
      </c>
      <c r="W1100" s="8">
        <v>1.016589</v>
      </c>
      <c r="X1100" s="8">
        <v>42.232259999999997</v>
      </c>
      <c r="Y1100">
        <v>98.459599999999995</v>
      </c>
      <c r="Z1100">
        <v>19.961389541626001</v>
      </c>
      <c r="AA1100">
        <v>2018</v>
      </c>
      <c r="AB1100">
        <v>2019</v>
      </c>
      <c r="AC1100">
        <v>1</v>
      </c>
      <c r="AD1100">
        <v>1</v>
      </c>
      <c r="AE1100">
        <v>1</v>
      </c>
      <c r="AF1100">
        <v>1</v>
      </c>
      <c r="AG1100">
        <v>2</v>
      </c>
      <c r="AH1100">
        <v>1</v>
      </c>
      <c r="AJ1100">
        <v>1.735900402069092</v>
      </c>
      <c r="AK1100">
        <v>1.838177084922791</v>
      </c>
      <c r="AM1100">
        <f>VLOOKUP(D1100,[1]Sheet1!$C$1:$D$191,2,FALSE)</f>
        <v>158</v>
      </c>
    </row>
    <row r="1101" spans="1:39" x14ac:dyDescent="0.35">
      <c r="A1101">
        <v>2016</v>
      </c>
      <c r="B1101" t="s">
        <v>162</v>
      </c>
      <c r="C1101">
        <v>159</v>
      </c>
      <c r="D1101" t="s">
        <v>337</v>
      </c>
      <c r="E1101">
        <v>30000</v>
      </c>
      <c r="G1101">
        <v>30000</v>
      </c>
      <c r="H1101">
        <v>682100649038.50305</v>
      </c>
      <c r="I1101">
        <v>666000000000</v>
      </c>
      <c r="J1101">
        <v>1.8844927356773414E-2</v>
      </c>
      <c r="K1101">
        <v>22035.804288597701</v>
      </c>
      <c r="L1101">
        <v>-1.8605826814449732E-2</v>
      </c>
      <c r="M1101">
        <v>22453.571552264999</v>
      </c>
      <c r="N1101">
        <v>2.0688403605347299</v>
      </c>
      <c r="O1101">
        <v>59.905425425425399</v>
      </c>
      <c r="P1101">
        <v>56.276430958428399</v>
      </c>
      <c r="Q1101">
        <v>27.882215187763801</v>
      </c>
      <c r="R1101">
        <v>30954198</v>
      </c>
      <c r="S1101">
        <v>3.8160766789210036E-2</v>
      </c>
      <c r="U1101">
        <v>1.93</v>
      </c>
      <c r="V1101">
        <v>15477.2</v>
      </c>
      <c r="W1101">
        <v>2.7392050000000001</v>
      </c>
      <c r="X1101">
        <v>53.994329999999998</v>
      </c>
      <c r="Y1101">
        <v>74.879300000000001</v>
      </c>
      <c r="Z1101">
        <v>63.982662335536901</v>
      </c>
      <c r="AA1101">
        <v>2022</v>
      </c>
      <c r="AB1101">
        <v>2024</v>
      </c>
      <c r="AC1101">
        <v>0</v>
      </c>
      <c r="AD1101">
        <v>0</v>
      </c>
      <c r="AE1101">
        <v>2</v>
      </c>
      <c r="AF1101">
        <v>1</v>
      </c>
      <c r="AJ1101">
        <v>0.31581962108612061</v>
      </c>
      <c r="AK1101">
        <v>6.4568758010864258E-2</v>
      </c>
      <c r="AL1101">
        <v>3.4945499999999997E-2</v>
      </c>
      <c r="AM1101">
        <f>VLOOKUP(D1101,[1]Sheet1!$C$1:$D$191,2,FALSE)</f>
        <v>159</v>
      </c>
    </row>
    <row r="1102" spans="1:39" x14ac:dyDescent="0.35">
      <c r="A1102">
        <v>2017</v>
      </c>
      <c r="B1102" t="s">
        <v>162</v>
      </c>
      <c r="C1102">
        <v>159</v>
      </c>
      <c r="D1102" t="s">
        <v>337</v>
      </c>
      <c r="F1102">
        <v>186531.1</v>
      </c>
      <c r="G1102">
        <v>186531.1</v>
      </c>
      <c r="H1102">
        <v>688314917831.27197</v>
      </c>
      <c r="I1102">
        <v>714994666666.66699</v>
      </c>
      <c r="J1102">
        <v>9.1104865558017372E-3</v>
      </c>
      <c r="K1102">
        <v>22219.938333381699</v>
      </c>
      <c r="L1102">
        <v>8.3561299770336332E-3</v>
      </c>
      <c r="M1102">
        <v>22035.804288597701</v>
      </c>
      <c r="N1102">
        <v>-0.83819457967501798</v>
      </c>
      <c r="O1102">
        <v>61.814316563666701</v>
      </c>
      <c r="P1102">
        <v>51.9798284673154</v>
      </c>
      <c r="Q1102">
        <v>26.935607911294401</v>
      </c>
      <c r="R1102">
        <v>30977355</v>
      </c>
      <c r="S1102">
        <v>7.4810531353453253E-4</v>
      </c>
      <c r="T1102">
        <v>49.707999999999998</v>
      </c>
      <c r="U1102">
        <v>1.93</v>
      </c>
      <c r="V1102">
        <v>15491.933999999999</v>
      </c>
      <c r="W1102">
        <v>2.9885989999999998</v>
      </c>
      <c r="X1102">
        <v>54.284910000000004</v>
      </c>
      <c r="Y1102">
        <v>94.175600000000003</v>
      </c>
      <c r="Z1102">
        <v>70.747134298142399</v>
      </c>
      <c r="AA1102">
        <v>2022</v>
      </c>
      <c r="AB1102">
        <v>2024</v>
      </c>
      <c r="AC1102">
        <v>0</v>
      </c>
      <c r="AD1102">
        <v>0</v>
      </c>
      <c r="AE1102">
        <v>2</v>
      </c>
      <c r="AF1102">
        <v>1</v>
      </c>
      <c r="AJ1102">
        <v>7.7283516526222229E-2</v>
      </c>
      <c r="AK1102">
        <v>-1.776657439768314E-2</v>
      </c>
      <c r="AL1102">
        <v>7.3021625000000007E-2</v>
      </c>
      <c r="AM1102">
        <f>VLOOKUP(D1102,[1]Sheet1!$C$1:$D$191,2,FALSE)</f>
        <v>159</v>
      </c>
    </row>
    <row r="1103" spans="1:39" x14ac:dyDescent="0.35">
      <c r="A1103">
        <v>2018</v>
      </c>
      <c r="B1103" t="s">
        <v>162</v>
      </c>
      <c r="C1103">
        <v>159</v>
      </c>
      <c r="D1103" t="s">
        <v>337</v>
      </c>
      <c r="E1103">
        <v>15311</v>
      </c>
      <c r="G1103">
        <v>15311</v>
      </c>
      <c r="H1103">
        <v>710335673015.19299</v>
      </c>
      <c r="I1103">
        <v>846583733333.33301</v>
      </c>
      <c r="J1103">
        <v>3.1992267802801004E-2</v>
      </c>
      <c r="K1103">
        <v>23523.945647982098</v>
      </c>
      <c r="L1103">
        <v>5.8686360647605816E-2</v>
      </c>
      <c r="M1103">
        <v>22219.938333381699</v>
      </c>
      <c r="N1103">
        <v>2.4581415800753201</v>
      </c>
      <c r="O1103">
        <v>61.955580530880297</v>
      </c>
      <c r="Q1103">
        <v>28.060984871274002</v>
      </c>
      <c r="R1103">
        <v>30196281</v>
      </c>
      <c r="S1103">
        <v>-2.5214354162903838E-2</v>
      </c>
      <c r="T1103">
        <v>51.006</v>
      </c>
      <c r="U1103">
        <v>1.93</v>
      </c>
      <c r="V1103">
        <v>15403.83</v>
      </c>
      <c r="W1103">
        <v>3.2594150000000002</v>
      </c>
      <c r="X1103">
        <v>55.739089999999997</v>
      </c>
      <c r="Y1103">
        <v>93.31</v>
      </c>
      <c r="Z1103">
        <v>73.197173638391803</v>
      </c>
      <c r="AA1103">
        <v>2022</v>
      </c>
      <c r="AB1103">
        <v>2024</v>
      </c>
      <c r="AC1103">
        <v>0</v>
      </c>
      <c r="AD1103">
        <v>0</v>
      </c>
      <c r="AE1103">
        <v>2</v>
      </c>
      <c r="AF1103">
        <v>1</v>
      </c>
      <c r="AJ1103">
        <v>0.1177573427557945</v>
      </c>
      <c r="AK1103">
        <v>-9.0882264077663422E-2</v>
      </c>
      <c r="AL1103">
        <v>6.5327024999999997E-2</v>
      </c>
      <c r="AM1103">
        <f>VLOOKUP(D1103,[1]Sheet1!$C$1:$D$191,2,FALSE)</f>
        <v>159</v>
      </c>
    </row>
    <row r="1104" spans="1:39" x14ac:dyDescent="0.35">
      <c r="A1104">
        <v>2019</v>
      </c>
      <c r="B1104" t="s">
        <v>162</v>
      </c>
      <c r="C1104">
        <v>159</v>
      </c>
      <c r="D1104" t="s">
        <v>337</v>
      </c>
      <c r="E1104">
        <v>5847891.9004700007</v>
      </c>
      <c r="G1104">
        <v>5847891.9004700007</v>
      </c>
      <c r="H1104">
        <v>718133267432.91003</v>
      </c>
      <c r="I1104">
        <v>838564800000</v>
      </c>
      <c r="J1104">
        <v>1.0977337495410092E-2</v>
      </c>
      <c r="K1104">
        <v>23886.976740128899</v>
      </c>
      <c r="L1104">
        <v>1.5432406517991673E-2</v>
      </c>
      <c r="M1104">
        <v>23523.945647982098</v>
      </c>
      <c r="N1104">
        <v>-2.0933333333332902</v>
      </c>
      <c r="O1104">
        <v>60.198186234385197</v>
      </c>
      <c r="Q1104">
        <v>28.312653398257901</v>
      </c>
      <c r="R1104">
        <v>30063799</v>
      </c>
      <c r="S1104">
        <v>-4.387361476732847E-3</v>
      </c>
      <c r="T1104">
        <v>54.703000000000003</v>
      </c>
      <c r="U1104">
        <v>1.93</v>
      </c>
      <c r="V1104">
        <v>15176.993</v>
      </c>
      <c r="W1104">
        <v>3.2961149999999999</v>
      </c>
      <c r="X1104">
        <v>57.87059</v>
      </c>
      <c r="Y1104">
        <v>95.724699999999999</v>
      </c>
      <c r="Z1104">
        <v>77.966494201100801</v>
      </c>
      <c r="AA1104">
        <v>2022</v>
      </c>
      <c r="AB1104">
        <v>2024</v>
      </c>
      <c r="AC1104">
        <v>0</v>
      </c>
      <c r="AD1104">
        <v>0</v>
      </c>
      <c r="AE1104">
        <v>2</v>
      </c>
      <c r="AF1104">
        <v>1</v>
      </c>
      <c r="AI1104">
        <v>1</v>
      </c>
      <c r="AJ1104">
        <v>0.14525765180587771</v>
      </c>
      <c r="AK1104">
        <v>-8.8528037071228027E-2</v>
      </c>
      <c r="AL1104">
        <v>6.6464049999999997E-2</v>
      </c>
      <c r="AM1104">
        <f>VLOOKUP(D1104,[1]Sheet1!$C$1:$D$191,2,FALSE)</f>
        <v>159</v>
      </c>
    </row>
    <row r="1105" spans="1:39" x14ac:dyDescent="0.35">
      <c r="A1105">
        <v>2020</v>
      </c>
      <c r="B1105" t="s">
        <v>162</v>
      </c>
      <c r="C1105">
        <v>159</v>
      </c>
      <c r="D1105" t="s">
        <v>337</v>
      </c>
      <c r="E1105">
        <v>3752158.1655232701</v>
      </c>
      <c r="F1105">
        <v>2710915.06</v>
      </c>
      <c r="G1105">
        <v>6463073.2255232697</v>
      </c>
      <c r="H1105">
        <v>692413074096.44897</v>
      </c>
      <c r="I1105">
        <v>734271200000</v>
      </c>
      <c r="J1105">
        <v>-3.581534863076638E-2</v>
      </c>
      <c r="K1105">
        <v>21944.785821998001</v>
      </c>
      <c r="L1105">
        <v>-8.1307523311148752E-2</v>
      </c>
      <c r="M1105">
        <v>23886.976740128899</v>
      </c>
      <c r="N1105">
        <v>3.4454582595669199</v>
      </c>
      <c r="O1105">
        <v>49.713475529659</v>
      </c>
      <c r="Q1105">
        <v>33.435275472440502</v>
      </c>
      <c r="R1105">
        <v>31552510</v>
      </c>
      <c r="S1105">
        <v>4.9518392535820237E-2</v>
      </c>
      <c r="T1105">
        <v>51.789000000000001</v>
      </c>
      <c r="U1105">
        <v>2.08</v>
      </c>
      <c r="V1105">
        <v>14335.966</v>
      </c>
      <c r="W1105">
        <v>2.979908</v>
      </c>
      <c r="X1105">
        <v>60.493679999999998</v>
      </c>
      <c r="Y1105">
        <v>97.862300000000005</v>
      </c>
      <c r="Z1105">
        <v>73.751086636885901</v>
      </c>
      <c r="AA1105">
        <v>2022</v>
      </c>
      <c r="AB1105">
        <v>2024</v>
      </c>
      <c r="AC1105">
        <v>0</v>
      </c>
      <c r="AD1105">
        <v>0</v>
      </c>
      <c r="AE1105">
        <v>2</v>
      </c>
      <c r="AF1105">
        <v>1</v>
      </c>
      <c r="AI1105">
        <v>1</v>
      </c>
      <c r="AJ1105">
        <v>0.21545067429542539</v>
      </c>
      <c r="AK1105">
        <v>0.24940147995948789</v>
      </c>
      <c r="AL1105">
        <v>5.4886200000000003E-2</v>
      </c>
      <c r="AM1105">
        <f>VLOOKUP(D1105,[1]Sheet1!$C$1:$D$191,2,FALSE)</f>
        <v>159</v>
      </c>
    </row>
    <row r="1106" spans="1:39" x14ac:dyDescent="0.35">
      <c r="A1106">
        <v>2017</v>
      </c>
      <c r="B1106" t="s">
        <v>163</v>
      </c>
      <c r="C1106">
        <v>160</v>
      </c>
      <c r="D1106" t="s">
        <v>338</v>
      </c>
      <c r="E1106">
        <v>2164.6884</v>
      </c>
      <c r="G1106">
        <v>2164.6884</v>
      </c>
      <c r="H1106">
        <v>20084646751.495399</v>
      </c>
      <c r="I1106">
        <v>18753456497.815899</v>
      </c>
      <c r="J1106">
        <v>2.6470032027450279E-2</v>
      </c>
      <c r="K1106">
        <v>562.76957414098797</v>
      </c>
      <c r="L1106">
        <v>-1.9556954834272292E-3</v>
      </c>
      <c r="M1106">
        <v>563.87233672314699</v>
      </c>
      <c r="N1106">
        <v>4.9759515055389203</v>
      </c>
      <c r="P1106">
        <v>3.8418812049259601</v>
      </c>
      <c r="Q1106">
        <v>39.220109980768399</v>
      </c>
      <c r="R1106">
        <v>35688935</v>
      </c>
      <c r="S1106">
        <v>2.8481428511981287E-2</v>
      </c>
      <c r="T1106">
        <v>51.201000000000001</v>
      </c>
      <c r="U1106">
        <v>2.5499999999999998</v>
      </c>
      <c r="V1106">
        <v>1.2132447</v>
      </c>
      <c r="W1106">
        <v>3.8519510000000001</v>
      </c>
      <c r="X1106">
        <v>55.650120000000001</v>
      </c>
      <c r="Y1106">
        <v>13.5</v>
      </c>
      <c r="AJ1106">
        <v>-1.5811764001846309</v>
      </c>
      <c r="AK1106">
        <v>-1.3630104064941411</v>
      </c>
      <c r="AL1106">
        <v>0.118152275</v>
      </c>
      <c r="AM1106">
        <f>VLOOKUP(D1106,[1]Sheet1!$C$1:$D$191,2,FALSE)</f>
        <v>160</v>
      </c>
    </row>
    <row r="1107" spans="1:39" x14ac:dyDescent="0.35">
      <c r="A1107">
        <v>2018</v>
      </c>
      <c r="B1107" t="s">
        <v>163</v>
      </c>
      <c r="C1107">
        <v>160</v>
      </c>
      <c r="D1107" t="s">
        <v>338</v>
      </c>
      <c r="E1107">
        <v>184478.9577</v>
      </c>
      <c r="G1107">
        <v>184478.9577</v>
      </c>
      <c r="H1107">
        <v>20323499020.363899</v>
      </c>
      <c r="I1107">
        <v>18053222687.412601</v>
      </c>
      <c r="J1107">
        <v>1.1892281294452741E-2</v>
      </c>
      <c r="K1107">
        <v>553.12515168829304</v>
      </c>
      <c r="L1107">
        <v>-1.7137426925427128E-2</v>
      </c>
      <c r="M1107">
        <v>562.76957414098797</v>
      </c>
      <c r="N1107">
        <v>0.62614914916898301</v>
      </c>
      <c r="P1107">
        <v>3.5123170333913301</v>
      </c>
      <c r="R1107">
        <v>36743039</v>
      </c>
      <c r="S1107">
        <v>2.9535877156323102E-2</v>
      </c>
      <c r="U1107">
        <v>2.97</v>
      </c>
      <c r="V1107">
        <v>1.6119520000000001</v>
      </c>
      <c r="W1107">
        <v>2.9674170000000002</v>
      </c>
      <c r="X1107">
        <v>60.701540000000001</v>
      </c>
      <c r="Y1107">
        <v>16.8</v>
      </c>
      <c r="Z1107">
        <v>9.9959201812744105</v>
      </c>
      <c r="AJ1107">
        <v>-1.689123868942261</v>
      </c>
      <c r="AK1107">
        <v>-1.138203620910645</v>
      </c>
      <c r="AL1107">
        <v>6.6338849999999991E-2</v>
      </c>
      <c r="AM1107">
        <f>VLOOKUP(D1107,[1]Sheet1!$C$1:$D$191,2,FALSE)</f>
        <v>160</v>
      </c>
    </row>
    <row r="1108" spans="1:39" x14ac:dyDescent="0.35">
      <c r="A1108">
        <v>2020</v>
      </c>
      <c r="B1108" t="s">
        <v>163</v>
      </c>
      <c r="C1108">
        <v>160</v>
      </c>
      <c r="D1108" t="s">
        <v>338</v>
      </c>
      <c r="E1108">
        <v>21257.1571755</v>
      </c>
      <c r="G1108">
        <v>21257.1571755</v>
      </c>
      <c r="H1108">
        <v>20621957125.207699</v>
      </c>
      <c r="I1108">
        <v>19955929052.149601</v>
      </c>
      <c r="J1108">
        <v>-2.3511006720349198E-2</v>
      </c>
      <c r="K1108">
        <v>527.83455449930602</v>
      </c>
      <c r="L1108">
        <v>-5.3825146422107777E-2</v>
      </c>
      <c r="M1108">
        <v>557.86153320745905</v>
      </c>
      <c r="O1108">
        <v>46.709894551410301</v>
      </c>
      <c r="P1108">
        <v>3.0965980896605898</v>
      </c>
      <c r="R1108">
        <v>39068979</v>
      </c>
      <c r="S1108">
        <v>3.203862329159398E-2</v>
      </c>
      <c r="T1108">
        <v>47.48</v>
      </c>
      <c r="U1108">
        <v>2.85</v>
      </c>
      <c r="V1108">
        <v>0</v>
      </c>
      <c r="W1108">
        <v>2.9582920000000001</v>
      </c>
      <c r="X1108">
        <v>58.741909999999997</v>
      </c>
      <c r="Y1108">
        <v>17.048500000000001</v>
      </c>
      <c r="Z1108">
        <v>10.85435962677</v>
      </c>
      <c r="AJ1108">
        <v>-1.831406712532043</v>
      </c>
      <c r="AK1108">
        <v>-1.389163017272949</v>
      </c>
      <c r="AL1108">
        <v>7.1419850000000007E-2</v>
      </c>
      <c r="AM1108">
        <f>VLOOKUP(D1108,[1]Sheet1!$C$1:$D$191,2,FALSE)</f>
        <v>160</v>
      </c>
    </row>
    <row r="1109" spans="1:39" x14ac:dyDescent="0.35">
      <c r="A1109">
        <v>2017</v>
      </c>
      <c r="B1109" t="s">
        <v>164</v>
      </c>
      <c r="C1109">
        <v>161</v>
      </c>
      <c r="D1109" t="s">
        <v>374</v>
      </c>
      <c r="E1109">
        <v>49402</v>
      </c>
      <c r="G1109">
        <v>49402</v>
      </c>
      <c r="H1109">
        <v>1533568876.8408899</v>
      </c>
      <c r="I1109">
        <v>1531151851.85185</v>
      </c>
      <c r="J1109">
        <v>2.4633333659041724E-2</v>
      </c>
      <c r="K1109">
        <v>16951.5063540798</v>
      </c>
      <c r="L1109">
        <v>1.8981699561947878E-2</v>
      </c>
      <c r="M1109">
        <v>16635.7318893628</v>
      </c>
      <c r="N1109">
        <v>2.43248789041363</v>
      </c>
      <c r="O1109">
        <v>127.973130855251</v>
      </c>
      <c r="P1109">
        <v>44.333605056469203</v>
      </c>
      <c r="R1109">
        <v>90468</v>
      </c>
      <c r="S1109">
        <v>5.5463548555613603E-3</v>
      </c>
      <c r="V1109">
        <v>66.028836999999996</v>
      </c>
      <c r="W1109">
        <v>0</v>
      </c>
      <c r="X1109">
        <v>0</v>
      </c>
      <c r="Y1109">
        <v>71.962100000000007</v>
      </c>
      <c r="AJ1109">
        <v>0.4070189893245697</v>
      </c>
      <c r="AK1109">
        <v>0.23712681233882901</v>
      </c>
      <c r="AM1109">
        <f>VLOOKUP(D1109,[1]Sheet1!$C$1:$D$191,2,FALSE)</f>
        <v>161</v>
      </c>
    </row>
    <row r="1110" spans="1:39" x14ac:dyDescent="0.35">
      <c r="A1110">
        <v>2017</v>
      </c>
      <c r="B1110" t="s">
        <v>165</v>
      </c>
      <c r="C1110">
        <v>162</v>
      </c>
      <c r="D1110" t="s">
        <v>339</v>
      </c>
      <c r="E1110">
        <v>10272</v>
      </c>
      <c r="G1110">
        <v>10272</v>
      </c>
      <c r="H1110">
        <v>222803809377.44299</v>
      </c>
      <c r="I1110">
        <v>293732446624.59601</v>
      </c>
      <c r="J1110">
        <v>6.5902499979405893E-2</v>
      </c>
      <c r="K1110">
        <v>1373.75363740186</v>
      </c>
      <c r="L1110">
        <v>5.68710307010271E-2</v>
      </c>
      <c r="M1110">
        <v>1299.8309136079199</v>
      </c>
      <c r="N1110">
        <v>5.7020701571723897</v>
      </c>
      <c r="O1110">
        <v>29.9997306724343</v>
      </c>
      <c r="P1110">
        <v>40.448956144867601</v>
      </c>
      <c r="Q1110">
        <v>7.6398743677255698</v>
      </c>
      <c r="R1110">
        <v>162186147</v>
      </c>
      <c r="S1110">
        <v>8.5454790755203416E-3</v>
      </c>
      <c r="T1110">
        <v>61.435000000000002</v>
      </c>
      <c r="U1110">
        <v>5.43</v>
      </c>
      <c r="V1110">
        <v>8.3584268999999995</v>
      </c>
      <c r="W1110">
        <v>2.3672559999999998</v>
      </c>
      <c r="X1110">
        <v>26.54926</v>
      </c>
      <c r="Y1110">
        <v>21.5</v>
      </c>
      <c r="Z1110">
        <v>18.517560439983399</v>
      </c>
      <c r="AJ1110">
        <v>-0.67966032028198242</v>
      </c>
      <c r="AK1110">
        <v>-0.82475745677947998</v>
      </c>
      <c r="AL1110">
        <v>1.8451024999999999E-2</v>
      </c>
      <c r="AM1110">
        <f>VLOOKUP(D1110,[1]Sheet1!$C$1:$D$191,2,FALSE)</f>
        <v>162</v>
      </c>
    </row>
    <row r="1111" spans="1:39" x14ac:dyDescent="0.35">
      <c r="A1111">
        <v>2018</v>
      </c>
      <c r="B1111" t="s">
        <v>165</v>
      </c>
      <c r="C1111">
        <v>162</v>
      </c>
      <c r="D1111" t="s">
        <v>339</v>
      </c>
      <c r="E1111">
        <v>339635.79</v>
      </c>
      <c r="F1111">
        <v>50000</v>
      </c>
      <c r="G1111">
        <v>389635.79000000004</v>
      </c>
      <c r="H1111">
        <v>239111739541.452</v>
      </c>
      <c r="I1111">
        <v>321362752441.78003</v>
      </c>
      <c r="J1111">
        <v>7.3194126301415224E-2</v>
      </c>
      <c r="K1111">
        <v>1462.2505025571299</v>
      </c>
      <c r="L1111">
        <v>6.441974947024813E-2</v>
      </c>
      <c r="M1111">
        <v>1373.75363740186</v>
      </c>
      <c r="N1111">
        <v>5.5436213948647604</v>
      </c>
      <c r="O1111">
        <v>32.514631724088403</v>
      </c>
      <c r="P1111">
        <v>40.024736590697898</v>
      </c>
      <c r="Q1111">
        <v>7.4941450180451001</v>
      </c>
      <c r="R1111">
        <v>163523103</v>
      </c>
      <c r="S1111">
        <v>8.2433427560246568E-3</v>
      </c>
      <c r="U1111">
        <v>5.57</v>
      </c>
      <c r="V1111">
        <v>8.9195066999999995</v>
      </c>
      <c r="W1111">
        <v>2.6521479999999999</v>
      </c>
      <c r="X1111">
        <v>25.440090000000001</v>
      </c>
      <c r="Y1111">
        <v>25.6</v>
      </c>
      <c r="Z1111">
        <v>19.5710492453779</v>
      </c>
      <c r="AJ1111">
        <v>-0.64921671152114868</v>
      </c>
      <c r="AK1111">
        <v>-0.84918677806854248</v>
      </c>
      <c r="AL1111">
        <v>1.2864250000000001E-2</v>
      </c>
      <c r="AM1111">
        <f>VLOOKUP(D1111,[1]Sheet1!$C$1:$D$191,2,FALSE)</f>
        <v>162</v>
      </c>
    </row>
    <row r="1112" spans="1:39" x14ac:dyDescent="0.35">
      <c r="A1112">
        <v>2019</v>
      </c>
      <c r="B1112" t="s">
        <v>165</v>
      </c>
      <c r="C1112">
        <v>162</v>
      </c>
      <c r="D1112" t="s">
        <v>339</v>
      </c>
      <c r="E1112">
        <v>26151.473628470001</v>
      </c>
      <c r="F1112">
        <v>8105000</v>
      </c>
      <c r="G1112">
        <v>8131151.4736284697</v>
      </c>
      <c r="H1112">
        <v>257958323968.61301</v>
      </c>
      <c r="I1112">
        <v>351231654603.69202</v>
      </c>
      <c r="J1112">
        <v>7.8819151511771754E-2</v>
      </c>
      <c r="K1112">
        <v>1564.2080244563599</v>
      </c>
      <c r="L1112">
        <v>6.9726439977917873E-2</v>
      </c>
      <c r="M1112">
        <v>1462.2505025571299</v>
      </c>
      <c r="N1112">
        <v>5.5919963993062902</v>
      </c>
      <c r="O1112">
        <v>31.578054491240401</v>
      </c>
      <c r="P1112">
        <v>39.034470935006603</v>
      </c>
      <c r="Q1112">
        <v>8.2723158768711507</v>
      </c>
      <c r="R1112">
        <v>164913055</v>
      </c>
      <c r="S1112">
        <v>8.5000343957514057E-3</v>
      </c>
      <c r="U1112">
        <v>5.88</v>
      </c>
      <c r="V1112">
        <v>9.4190655999999997</v>
      </c>
      <c r="W1112">
        <v>2.5699480000000001</v>
      </c>
      <c r="X1112">
        <v>25.31277</v>
      </c>
      <c r="Y1112">
        <v>30.4</v>
      </c>
      <c r="Z1112">
        <v>22.709464247340499</v>
      </c>
      <c r="AJ1112">
        <v>-0.6434749960899353</v>
      </c>
      <c r="AK1112">
        <v>-0.9372221827507019</v>
      </c>
      <c r="AL1112">
        <v>3.702875E-3</v>
      </c>
      <c r="AM1112">
        <f>VLOOKUP(D1112,[1]Sheet1!$C$1:$D$191,2,FALSE)</f>
        <v>162</v>
      </c>
    </row>
    <row r="1113" spans="1:39" x14ac:dyDescent="0.35">
      <c r="A1113">
        <v>2020</v>
      </c>
      <c r="B1113" t="s">
        <v>165</v>
      </c>
      <c r="C1113">
        <v>162</v>
      </c>
      <c r="D1113" t="s">
        <v>339</v>
      </c>
      <c r="E1113">
        <v>2296398.8773846701</v>
      </c>
      <c r="F1113">
        <v>3586372</v>
      </c>
      <c r="G1113">
        <v>5882770.8773846701</v>
      </c>
      <c r="H1113">
        <v>266852772253.89499</v>
      </c>
      <c r="I1113">
        <v>373979442362.19299</v>
      </c>
      <c r="J1113">
        <v>3.4480175512243645E-2</v>
      </c>
      <c r="K1113">
        <v>1604.6659234742001</v>
      </c>
      <c r="L1113">
        <v>2.5864781656456035E-2</v>
      </c>
      <c r="M1113">
        <v>1564.2080244563599</v>
      </c>
      <c r="N1113">
        <v>5.6910747474621104</v>
      </c>
      <c r="O1113">
        <v>26.271447376215001</v>
      </c>
      <c r="P1113">
        <v>39.161059242520999</v>
      </c>
      <c r="Q1113">
        <v>8.1483202455762491</v>
      </c>
      <c r="R1113">
        <v>166298024</v>
      </c>
      <c r="S1113">
        <v>8.3981768453686087E-3</v>
      </c>
      <c r="U1113">
        <v>5.99</v>
      </c>
      <c r="V1113">
        <v>10.530767000000001</v>
      </c>
      <c r="W1113">
        <v>1.6887760000000001</v>
      </c>
      <c r="X1113">
        <v>25.991240000000001</v>
      </c>
      <c r="Y1113">
        <v>36.109099999999998</v>
      </c>
      <c r="Z1113">
        <v>22.692301956450098</v>
      </c>
      <c r="AJ1113">
        <v>-0.56553119421005249</v>
      </c>
      <c r="AK1113">
        <v>-0.90621352195739746</v>
      </c>
      <c r="AL1113">
        <v>1.5905849999999999E-2</v>
      </c>
      <c r="AM1113">
        <f>VLOOKUP(D1113,[1]Sheet1!$C$1:$D$191,2,FALSE)</f>
        <v>162</v>
      </c>
    </row>
    <row r="1114" spans="1:39" x14ac:dyDescent="0.35">
      <c r="A1114">
        <v>2017</v>
      </c>
      <c r="B1114" t="s">
        <v>166</v>
      </c>
      <c r="C1114">
        <v>163</v>
      </c>
      <c r="D1114" t="s">
        <v>375</v>
      </c>
      <c r="F1114">
        <v>10000</v>
      </c>
      <c r="G1114">
        <v>10000</v>
      </c>
      <c r="H1114">
        <v>2422779967.1310401</v>
      </c>
      <c r="I1114">
        <v>2591358009.7979202</v>
      </c>
      <c r="J1114">
        <v>2.0868452577099759E-2</v>
      </c>
      <c r="K1114">
        <v>3211.8090332956099</v>
      </c>
      <c r="L1114">
        <v>1.2113724214076881E-2</v>
      </c>
      <c r="M1114">
        <v>3173.36773176318</v>
      </c>
      <c r="N1114">
        <v>4.9550836698512901</v>
      </c>
      <c r="O1114">
        <v>76.788401665427699</v>
      </c>
      <c r="P1114">
        <v>48.313024541252197</v>
      </c>
      <c r="Q1114">
        <v>17.6203577207514</v>
      </c>
      <c r="R1114">
        <v>754335</v>
      </c>
      <c r="S1114">
        <v>8.6499453110583987E-3</v>
      </c>
      <c r="U1114">
        <v>5.08</v>
      </c>
      <c r="V1114">
        <v>39.448735999999997</v>
      </c>
      <c r="W1114">
        <v>5.0045460000000004</v>
      </c>
      <c r="X1114">
        <v>93.608829999999998</v>
      </c>
      <c r="Y1114">
        <v>54.3</v>
      </c>
      <c r="Z1114">
        <v>14.835498945632301</v>
      </c>
      <c r="AJ1114">
        <v>0.62613606452941895</v>
      </c>
      <c r="AK1114">
        <v>-0.34152054786682129</v>
      </c>
      <c r="AM1114">
        <f>VLOOKUP(D1114,[1]Sheet1!$C$1:$D$191,2,FALSE)</f>
        <v>163</v>
      </c>
    </row>
    <row r="1115" spans="1:39" x14ac:dyDescent="0.35">
      <c r="A1115">
        <v>2018</v>
      </c>
      <c r="B1115" t="s">
        <v>166</v>
      </c>
      <c r="C1115">
        <v>163</v>
      </c>
      <c r="D1115" t="s">
        <v>375</v>
      </c>
      <c r="E1115">
        <v>325</v>
      </c>
      <c r="G1115">
        <v>325</v>
      </c>
      <c r="H1115">
        <v>2507622616.4782701</v>
      </c>
      <c r="I1115">
        <v>2583335721.2062502</v>
      </c>
      <c r="J1115">
        <v>3.5018718372389901E-2</v>
      </c>
      <c r="K1115">
        <v>3300.55006453134</v>
      </c>
      <c r="L1115">
        <v>2.7629610078241083E-2</v>
      </c>
      <c r="M1115">
        <v>3211.8090332956099</v>
      </c>
      <c r="N1115">
        <v>2.7239638618372002</v>
      </c>
      <c r="O1115">
        <v>79.739720347812494</v>
      </c>
      <c r="P1115">
        <v>54.847828550388499</v>
      </c>
      <c r="Q1115">
        <v>19.3875030477856</v>
      </c>
      <c r="R1115">
        <v>759759</v>
      </c>
      <c r="S1115">
        <v>7.1904392610710093E-3</v>
      </c>
      <c r="T1115">
        <v>75.811999999999998</v>
      </c>
      <c r="U1115">
        <v>5.3</v>
      </c>
      <c r="V1115">
        <v>43.930297000000003</v>
      </c>
      <c r="W1115">
        <v>4.707821</v>
      </c>
      <c r="X1115">
        <v>92.405779999999993</v>
      </c>
      <c r="Y1115">
        <v>63.5</v>
      </c>
      <c r="Z1115">
        <v>14.9303808051574</v>
      </c>
      <c r="AJ1115">
        <v>0.54835182428359985</v>
      </c>
      <c r="AK1115">
        <v>-0.37695983052253718</v>
      </c>
      <c r="AM1115">
        <f>VLOOKUP(D1115,[1]Sheet1!$C$1:$D$191,2,FALSE)</f>
        <v>163</v>
      </c>
    </row>
    <row r="1116" spans="1:39" x14ac:dyDescent="0.35">
      <c r="A1116">
        <v>2019</v>
      </c>
      <c r="B1116" t="s">
        <v>166</v>
      </c>
      <c r="C1116">
        <v>163</v>
      </c>
      <c r="D1116" t="s">
        <v>375</v>
      </c>
      <c r="E1116">
        <v>638.42049499999996</v>
      </c>
      <c r="G1116">
        <v>638.42049499999996</v>
      </c>
      <c r="H1116">
        <v>2651940022.0312099</v>
      </c>
      <c r="I1116">
        <v>2735683570.2885098</v>
      </c>
      <c r="J1116">
        <v>5.755148506182349E-2</v>
      </c>
      <c r="K1116">
        <v>3467.3859894972002</v>
      </c>
      <c r="L1116">
        <v>5.0547915257740515E-2</v>
      </c>
      <c r="M1116">
        <v>3300.55006453134</v>
      </c>
      <c r="N1116">
        <v>2.7264303738882001</v>
      </c>
      <c r="O1116">
        <v>76.123516713179001</v>
      </c>
      <c r="P1116">
        <v>59.373419119661101</v>
      </c>
      <c r="Q1116">
        <v>16.630738065983</v>
      </c>
      <c r="R1116">
        <v>764824</v>
      </c>
      <c r="S1116">
        <v>6.6665876942556788E-3</v>
      </c>
      <c r="T1116">
        <v>81.864999999999995</v>
      </c>
      <c r="U1116">
        <v>5.3</v>
      </c>
      <c r="V1116">
        <v>48.093463</v>
      </c>
      <c r="W1116">
        <v>4.3421919999999998</v>
      </c>
      <c r="X1116">
        <v>91.799800000000005</v>
      </c>
      <c r="Y1116">
        <v>74.179400000000001</v>
      </c>
      <c r="Z1116">
        <v>15.942029155031699</v>
      </c>
      <c r="AJ1116">
        <v>0.58450698852539063</v>
      </c>
      <c r="AK1116">
        <v>-0.35962384939193731</v>
      </c>
      <c r="AM1116">
        <f>VLOOKUP(D1116,[1]Sheet1!$C$1:$D$191,2,FALSE)</f>
        <v>163</v>
      </c>
    </row>
    <row r="1117" spans="1:39" x14ac:dyDescent="0.35">
      <c r="A1117">
        <v>2020</v>
      </c>
      <c r="B1117" t="s">
        <v>166</v>
      </c>
      <c r="C1117">
        <v>163</v>
      </c>
      <c r="D1117" t="s">
        <v>375</v>
      </c>
      <c r="E1117">
        <v>609.73</v>
      </c>
      <c r="G1117">
        <v>609.73</v>
      </c>
      <c r="H1117">
        <v>2380954251.5749898</v>
      </c>
      <c r="I1117">
        <v>2457604334.1591501</v>
      </c>
      <c r="J1117">
        <v>-0.1021839740736908</v>
      </c>
      <c r="K1117">
        <v>3092.1242841938802</v>
      </c>
      <c r="L1117">
        <v>-0.10822611224709254</v>
      </c>
      <c r="M1117">
        <v>3467.3859894972002</v>
      </c>
      <c r="N1117">
        <v>5.6293652263251399</v>
      </c>
      <c r="O1117">
        <v>71.830351001713296</v>
      </c>
      <c r="P1117">
        <v>67.552498833077195</v>
      </c>
      <c r="Q1117">
        <v>24.076157394051702</v>
      </c>
      <c r="R1117">
        <v>770006</v>
      </c>
      <c r="S1117">
        <v>6.7754149974373189E-3</v>
      </c>
      <c r="T1117">
        <v>83.899000000000001</v>
      </c>
      <c r="U1117">
        <v>5.71</v>
      </c>
      <c r="V1117">
        <v>0</v>
      </c>
      <c r="W1117">
        <v>2.8945650000000001</v>
      </c>
      <c r="X1117">
        <v>92.723140000000001</v>
      </c>
      <c r="Y1117">
        <v>76.850800000000007</v>
      </c>
      <c r="Z1117">
        <v>16.8650740250552</v>
      </c>
      <c r="AJ1117">
        <v>0.57695692777633667</v>
      </c>
      <c r="AK1117">
        <v>-0.33075085282325739</v>
      </c>
      <c r="AM1117">
        <f>VLOOKUP(D1117,[1]Sheet1!$C$1:$D$191,2,FALSE)</f>
        <v>163</v>
      </c>
    </row>
    <row r="1118" spans="1:39" x14ac:dyDescent="0.35">
      <c r="A1118">
        <v>2017</v>
      </c>
      <c r="B1118" t="s">
        <v>167</v>
      </c>
      <c r="C1118">
        <v>164</v>
      </c>
      <c r="D1118" t="s">
        <v>376</v>
      </c>
      <c r="E1118">
        <v>22886</v>
      </c>
      <c r="G1118">
        <v>22886</v>
      </c>
      <c r="R1118">
        <v>32699</v>
      </c>
      <c r="S1118">
        <v>-3.4801346006257748E-2</v>
      </c>
      <c r="V1118">
        <v>0</v>
      </c>
      <c r="W1118">
        <v>0</v>
      </c>
      <c r="X1118">
        <v>0</v>
      </c>
      <c r="Y1118">
        <v>77.704300000000003</v>
      </c>
      <c r="AM1118">
        <f>VLOOKUP(D1118,[1]Sheet1!$C$1:$D$191,2,FALSE)</f>
        <v>164</v>
      </c>
    </row>
    <row r="1119" spans="1:39" x14ac:dyDescent="0.35">
      <c r="A1119">
        <v>2018</v>
      </c>
      <c r="B1119" t="s">
        <v>167</v>
      </c>
      <c r="C1119">
        <v>164</v>
      </c>
      <c r="D1119" t="s">
        <v>376</v>
      </c>
      <c r="F1119">
        <v>8636082.5999999996</v>
      </c>
      <c r="G1119">
        <v>8636082.5999999996</v>
      </c>
      <c r="R1119">
        <v>34657</v>
      </c>
      <c r="S1119">
        <v>5.9879507018563261E-2</v>
      </c>
      <c r="V1119">
        <v>0</v>
      </c>
      <c r="W1119">
        <v>0</v>
      </c>
      <c r="X1119">
        <v>0</v>
      </c>
      <c r="Z1119">
        <v>17.755102040816301</v>
      </c>
      <c r="AM1119">
        <f>VLOOKUP(D1119,[1]Sheet1!$C$1:$D$191,2,FALSE)</f>
        <v>164</v>
      </c>
    </row>
    <row r="1120" spans="1:39" x14ac:dyDescent="0.35">
      <c r="A1120">
        <v>2020</v>
      </c>
      <c r="B1120" t="s">
        <v>167</v>
      </c>
      <c r="C1120">
        <v>164</v>
      </c>
      <c r="D1120" t="s">
        <v>376</v>
      </c>
      <c r="E1120">
        <v>5300.85</v>
      </c>
      <c r="G1120">
        <v>5300.85</v>
      </c>
      <c r="R1120">
        <v>37135</v>
      </c>
      <c r="S1120">
        <v>2.0332463250446488E-2</v>
      </c>
      <c r="V1120">
        <v>0</v>
      </c>
      <c r="W1120">
        <v>0</v>
      </c>
      <c r="X1120">
        <v>0</v>
      </c>
      <c r="Z1120">
        <v>30.475763016158002</v>
      </c>
      <c r="AM1120">
        <f>VLOOKUP(D1120,[1]Sheet1!$C$1:$D$191,2,FALSE)</f>
        <v>164</v>
      </c>
    </row>
    <row r="1121" spans="1:39" x14ac:dyDescent="0.35">
      <c r="A1121">
        <v>2017</v>
      </c>
      <c r="B1121" t="s">
        <v>168</v>
      </c>
      <c r="C1121">
        <v>165</v>
      </c>
      <c r="D1121" t="s">
        <v>340</v>
      </c>
      <c r="E1121">
        <v>183.04218</v>
      </c>
      <c r="G1121">
        <v>183.04218</v>
      </c>
      <c r="H1121">
        <v>9958586279.1443005</v>
      </c>
      <c r="I1121">
        <v>10000394381.0177</v>
      </c>
      <c r="J1121">
        <v>-2.9886959855394028E-2</v>
      </c>
      <c r="K1121">
        <v>637.44094619550299</v>
      </c>
      <c r="L1121">
        <v>-6.143825730225403E-2</v>
      </c>
      <c r="M1121">
        <v>679.16783435395598</v>
      </c>
      <c r="N1121">
        <v>-1.53709962980849</v>
      </c>
      <c r="O1121">
        <v>73.575008182222305</v>
      </c>
      <c r="P1121">
        <v>12.1553941144657</v>
      </c>
      <c r="R1121">
        <v>15622759</v>
      </c>
      <c r="S1121">
        <v>3.3616645566835628E-2</v>
      </c>
      <c r="U1121">
        <v>1.5</v>
      </c>
      <c r="V1121">
        <v>1.1267634</v>
      </c>
      <c r="W1121">
        <v>0</v>
      </c>
      <c r="X1121">
        <v>0</v>
      </c>
      <c r="Y1121">
        <v>6.4</v>
      </c>
      <c r="AJ1121">
        <v>-1.3184273242950439</v>
      </c>
      <c r="AK1121">
        <v>-1.225705623626709</v>
      </c>
      <c r="AL1121">
        <v>4.2798375000000007E-2</v>
      </c>
      <c r="AM1121">
        <f>VLOOKUP(D1121,[1]Sheet1!$C$1:$D$191,2,FALSE)</f>
        <v>165</v>
      </c>
    </row>
    <row r="1122" spans="1:39" x14ac:dyDescent="0.35">
      <c r="A1122">
        <v>2019</v>
      </c>
      <c r="B1122" t="s">
        <v>168</v>
      </c>
      <c r="C1122">
        <v>165</v>
      </c>
      <c r="D1122" t="s">
        <v>340</v>
      </c>
      <c r="E1122">
        <v>4415.8594446400002</v>
      </c>
      <c r="G1122">
        <v>4415.8594446400002</v>
      </c>
      <c r="H1122">
        <v>10526057301.741199</v>
      </c>
      <c r="I1122">
        <v>11314951091.7283</v>
      </c>
      <c r="J1122">
        <v>3.2471819174342019E-2</v>
      </c>
      <c r="K1122">
        <v>630.86105002859404</v>
      </c>
      <c r="L1122">
        <v>-2.433318921373976E-4</v>
      </c>
      <c r="M1122">
        <v>631.01459600420606</v>
      </c>
      <c r="N1122">
        <v>-0.97193917541931696</v>
      </c>
      <c r="O1122">
        <v>74.570525555855795</v>
      </c>
      <c r="P1122">
        <v>9.9346042686783296</v>
      </c>
      <c r="R1122">
        <v>16685223</v>
      </c>
      <c r="S1122">
        <v>3.2723113643640458E-2</v>
      </c>
      <c r="U1122">
        <v>1.61</v>
      </c>
      <c r="V1122">
        <v>1.0376867999999999</v>
      </c>
      <c r="W1122">
        <v>0</v>
      </c>
      <c r="X1122">
        <v>0</v>
      </c>
      <c r="Y1122">
        <v>7.6</v>
      </c>
      <c r="AJ1122">
        <v>-1.314303517341614</v>
      </c>
      <c r="AK1122">
        <v>-1.124400854110718</v>
      </c>
      <c r="AL1122">
        <v>6.3866424999999991E-2</v>
      </c>
      <c r="AM1122">
        <f>VLOOKUP(D1122,[1]Sheet1!$C$1:$D$191,2,FALSE)</f>
        <v>165</v>
      </c>
    </row>
    <row r="1123" spans="1:39" x14ac:dyDescent="0.35">
      <c r="A1123">
        <v>2020</v>
      </c>
      <c r="B1123" t="s">
        <v>168</v>
      </c>
      <c r="C1123">
        <v>165</v>
      </c>
      <c r="D1123" t="s">
        <v>340</v>
      </c>
      <c r="E1123">
        <v>2924.5417265900001</v>
      </c>
      <c r="G1123">
        <v>2924.5417265900001</v>
      </c>
      <c r="H1123">
        <v>10357639675.767099</v>
      </c>
      <c r="I1123">
        <v>10715396042.334299</v>
      </c>
      <c r="J1123">
        <v>-1.6000067370547263E-2</v>
      </c>
      <c r="K1123">
        <v>601.32555595184601</v>
      </c>
      <c r="L1123">
        <v>-4.6817748655443719E-2</v>
      </c>
      <c r="M1123">
        <v>630.86105002859404</v>
      </c>
      <c r="N1123">
        <v>4.4641443723286001</v>
      </c>
      <c r="O1123">
        <v>68.730360141461105</v>
      </c>
      <c r="P1123">
        <v>10.074498608217899</v>
      </c>
      <c r="R1123">
        <v>17224679</v>
      </c>
      <c r="S1123">
        <v>3.2331362907166421E-2</v>
      </c>
      <c r="U1123">
        <v>1.55</v>
      </c>
      <c r="V1123">
        <v>1.4562949999999999</v>
      </c>
      <c r="W1123">
        <v>0</v>
      </c>
      <c r="X1123">
        <v>0</v>
      </c>
      <c r="Y1123">
        <v>8.3431099999999994</v>
      </c>
      <c r="Z1123">
        <v>4.3966596726706504</v>
      </c>
      <c r="AJ1123">
        <v>-1.331267714500427</v>
      </c>
      <c r="AK1123">
        <v>-1.1253095865249629</v>
      </c>
      <c r="AL1123">
        <v>0.1075459</v>
      </c>
      <c r="AM1123">
        <f>VLOOKUP(D1123,[1]Sheet1!$C$1:$D$191,2,FALSE)</f>
        <v>165</v>
      </c>
    </row>
    <row r="1124" spans="1:39" x14ac:dyDescent="0.35">
      <c r="A1124">
        <v>2017</v>
      </c>
      <c r="B1124" t="s">
        <v>169</v>
      </c>
      <c r="C1124">
        <v>166</v>
      </c>
      <c r="D1124" t="s">
        <v>377</v>
      </c>
      <c r="E1124">
        <v>25929.58855</v>
      </c>
      <c r="G1124">
        <v>25929.58855</v>
      </c>
      <c r="H1124">
        <v>2617499780.41644</v>
      </c>
      <c r="I1124">
        <v>2851613679.0343299</v>
      </c>
      <c r="J1124">
        <v>5.2728182879867021E-4</v>
      </c>
      <c r="K1124">
        <v>46597.945247034797</v>
      </c>
      <c r="L1124">
        <v>7.7664773967366964E-4</v>
      </c>
      <c r="M1124">
        <v>46561.783143401299</v>
      </c>
      <c r="O1124">
        <v>84.207255867310394</v>
      </c>
      <c r="R1124">
        <v>56172</v>
      </c>
      <c r="S1124">
        <v>-2.4917239169899977E-4</v>
      </c>
      <c r="V1124">
        <v>0</v>
      </c>
      <c r="W1124">
        <v>0</v>
      </c>
      <c r="X1124">
        <v>0</v>
      </c>
      <c r="Y1124">
        <v>69.482500000000002</v>
      </c>
      <c r="AJ1124">
        <v>1.6899081468582151</v>
      </c>
      <c r="AK1124">
        <v>1.3100907802581789</v>
      </c>
      <c r="AM1124">
        <f>VLOOKUP(D1124,[1]Sheet1!$C$1:$D$191,2,FALSE)</f>
        <v>166</v>
      </c>
    </row>
    <row r="1125" spans="1:39" x14ac:dyDescent="0.35">
      <c r="A1125">
        <v>2019</v>
      </c>
      <c r="B1125" t="s">
        <v>169</v>
      </c>
      <c r="C1125">
        <v>166</v>
      </c>
      <c r="D1125" t="s">
        <v>377</v>
      </c>
      <c r="E1125">
        <v>8849</v>
      </c>
      <c r="G1125">
        <v>8849</v>
      </c>
      <c r="H1125">
        <v>2708402650.63237</v>
      </c>
      <c r="I1125">
        <v>2997309971.8762298</v>
      </c>
      <c r="J1125">
        <v>2.8321775679870376E-2</v>
      </c>
      <c r="K1125">
        <v>48170.789695551197</v>
      </c>
      <c r="L1125">
        <v>2.462731594332174E-2</v>
      </c>
      <c r="M1125">
        <v>47012.986035027599</v>
      </c>
      <c r="O1125">
        <v>92.190751560749206</v>
      </c>
      <c r="R1125">
        <v>56225</v>
      </c>
      <c r="S1125">
        <v>3.6056619602663192E-3</v>
      </c>
      <c r="V1125">
        <v>0</v>
      </c>
      <c r="W1125">
        <v>0</v>
      </c>
      <c r="X1125">
        <v>0</v>
      </c>
      <c r="AJ1125">
        <v>1.7106261253356929</v>
      </c>
      <c r="AK1125">
        <v>1.347490787506104</v>
      </c>
      <c r="AM1125">
        <f>VLOOKUP(D1125,[1]Sheet1!$C$1:$D$191,2,FALSE)</f>
        <v>166</v>
      </c>
    </row>
    <row r="1126" spans="1:39" x14ac:dyDescent="0.35">
      <c r="A1126">
        <v>2020</v>
      </c>
      <c r="B1126" t="s">
        <v>169</v>
      </c>
      <c r="C1126">
        <v>166</v>
      </c>
      <c r="D1126" t="s">
        <v>377</v>
      </c>
      <c r="E1126">
        <v>8077</v>
      </c>
      <c r="G1126">
        <v>8077</v>
      </c>
      <c r="H1126">
        <v>2713483852.1753602</v>
      </c>
      <c r="I1126">
        <v>3082884653.2456002</v>
      </c>
      <c r="J1126">
        <v>1.8760879375907516E-3</v>
      </c>
      <c r="K1126">
        <v>48139.582595762797</v>
      </c>
      <c r="L1126">
        <v>-6.4784281066669646E-4</v>
      </c>
      <c r="M1126">
        <v>48170.789695551197</v>
      </c>
      <c r="O1126">
        <v>82.699926123151201</v>
      </c>
      <c r="R1126">
        <v>56367</v>
      </c>
      <c r="S1126">
        <v>2.5255669186305023E-3</v>
      </c>
      <c r="V1126">
        <v>0</v>
      </c>
      <c r="W1126">
        <v>0</v>
      </c>
      <c r="X1126">
        <v>0</v>
      </c>
      <c r="AJ1126">
        <v>1.7011866569519041</v>
      </c>
      <c r="AK1126">
        <v>1.375887870788574</v>
      </c>
      <c r="AM1126">
        <f>VLOOKUP(D1126,[1]Sheet1!$C$1:$D$191,2,FALSE)</f>
        <v>166</v>
      </c>
    </row>
    <row r="1127" spans="1:39" x14ac:dyDescent="0.35">
      <c r="A1127">
        <v>2017</v>
      </c>
      <c r="B1127" t="s">
        <v>170</v>
      </c>
      <c r="C1127">
        <v>167</v>
      </c>
      <c r="D1127" t="s">
        <v>378</v>
      </c>
      <c r="E1127">
        <v>25764</v>
      </c>
      <c r="G1127">
        <v>25764</v>
      </c>
      <c r="R1127">
        <v>25817709</v>
      </c>
      <c r="S1127">
        <v>3.7898991736268492E-3</v>
      </c>
      <c r="U1127">
        <v>1.08</v>
      </c>
      <c r="AJ1127">
        <v>-1.723274827003479</v>
      </c>
      <c r="AK1127">
        <v>-2.3680336475372314</v>
      </c>
      <c r="AM1127">
        <f>VLOOKUP(D1127,[1]Sheet1!$C$1:$D$191,2,FALSE)</f>
        <v>167</v>
      </c>
    </row>
    <row r="1128" spans="1:39" x14ac:dyDescent="0.35">
      <c r="A1128">
        <v>2017</v>
      </c>
      <c r="B1128" t="s">
        <v>171</v>
      </c>
      <c r="C1128">
        <v>168</v>
      </c>
      <c r="D1128" t="s">
        <v>341</v>
      </c>
      <c r="E1128">
        <v>19146</v>
      </c>
      <c r="F1128">
        <v>1418150</v>
      </c>
      <c r="G1128">
        <v>1437296</v>
      </c>
      <c r="H1128">
        <v>7297999868.5030098</v>
      </c>
      <c r="I1128">
        <v>7702938379.4203596</v>
      </c>
      <c r="J1128">
        <v>4.7399372237787799E-2</v>
      </c>
      <c r="K1128">
        <v>1157.1828493230701</v>
      </c>
      <c r="L1128">
        <v>2.5583781689866556E-2</v>
      </c>
      <c r="M1128">
        <v>1128.3162526384399</v>
      </c>
      <c r="N1128">
        <v>3.1753098637993999</v>
      </c>
      <c r="O1128">
        <v>100.617445813258</v>
      </c>
      <c r="P1128">
        <v>21.401470683014299</v>
      </c>
      <c r="Q1128">
        <v>26.049769857507101</v>
      </c>
      <c r="R1128">
        <v>6306695.5</v>
      </c>
      <c r="S1128">
        <v>2.1271388001060671E-2</v>
      </c>
      <c r="T1128">
        <v>30.44</v>
      </c>
      <c r="U1128">
        <v>5.1100000000000003</v>
      </c>
      <c r="V1128">
        <v>33.614229000000002</v>
      </c>
      <c r="W1128">
        <v>8.8715539999999997</v>
      </c>
      <c r="X1128">
        <v>48.342219999999998</v>
      </c>
      <c r="Y1128">
        <v>50.8</v>
      </c>
      <c r="Z1128">
        <v>41.5760302696793</v>
      </c>
      <c r="AJ1128">
        <v>-0.94707208871841431</v>
      </c>
      <c r="AK1128">
        <v>-0.37988835573196411</v>
      </c>
      <c r="AL1128">
        <v>5.6771750000000003E-2</v>
      </c>
      <c r="AM1128">
        <f>VLOOKUP(D1128,[1]Sheet1!$C$1:$D$191,2,FALSE)</f>
        <v>168</v>
      </c>
    </row>
    <row r="1129" spans="1:39" x14ac:dyDescent="0.35">
      <c r="A1129">
        <v>2018</v>
      </c>
      <c r="B1129" t="s">
        <v>171</v>
      </c>
      <c r="C1129">
        <v>168</v>
      </c>
      <c r="D1129" t="s">
        <v>341</v>
      </c>
      <c r="E1129">
        <v>6873.99</v>
      </c>
      <c r="F1129">
        <v>1693375</v>
      </c>
      <c r="G1129">
        <v>1700248.99</v>
      </c>
      <c r="H1129">
        <v>7572252145.2554903</v>
      </c>
      <c r="I1129">
        <v>8271106235.4155197</v>
      </c>
      <c r="J1129">
        <v>3.7579101355716529E-2</v>
      </c>
      <c r="K1129">
        <v>1175.0713690492</v>
      </c>
      <c r="L1129">
        <v>1.5458680308470191E-2</v>
      </c>
      <c r="M1129">
        <v>1157.1828493230701</v>
      </c>
      <c r="N1129">
        <v>1.54266145238436</v>
      </c>
      <c r="O1129">
        <v>98.875559901760795</v>
      </c>
      <c r="P1129">
        <v>23.374812092084301</v>
      </c>
      <c r="Q1129">
        <v>25.485252876082601</v>
      </c>
      <c r="R1129">
        <v>6444078.5</v>
      </c>
      <c r="S1129">
        <v>2.1783674191975813E-2</v>
      </c>
      <c r="T1129">
        <v>26.82</v>
      </c>
      <c r="U1129">
        <v>5.1100000000000003</v>
      </c>
      <c r="V1129">
        <v>37.008913</v>
      </c>
      <c r="W1129">
        <v>8.4599200000000003</v>
      </c>
      <c r="X1129">
        <v>47.701729999999998</v>
      </c>
      <c r="Y1129">
        <v>62.8</v>
      </c>
      <c r="Z1129">
        <v>39.5679556504749</v>
      </c>
      <c r="AJ1129">
        <v>-0.92870146036148071</v>
      </c>
      <c r="AK1129">
        <v>-0.39731916785240168</v>
      </c>
      <c r="AL1129">
        <v>6.0062650000000009E-2</v>
      </c>
      <c r="AM1129">
        <f>VLOOKUP(D1129,[1]Sheet1!$C$1:$D$191,2,FALSE)</f>
        <v>168</v>
      </c>
    </row>
    <row r="1130" spans="1:39" x14ac:dyDescent="0.35">
      <c r="A1130">
        <v>2019</v>
      </c>
      <c r="B1130" t="s">
        <v>171</v>
      </c>
      <c r="C1130">
        <v>168</v>
      </c>
      <c r="D1130" t="s">
        <v>341</v>
      </c>
      <c r="E1130">
        <v>27717.112295499999</v>
      </c>
      <c r="F1130">
        <v>3091300</v>
      </c>
      <c r="G1130">
        <v>3119017.1122955</v>
      </c>
      <c r="H1130">
        <v>7920623120.2686005</v>
      </c>
      <c r="I1130">
        <v>9371275264.3673496</v>
      </c>
      <c r="J1130">
        <v>4.6006256570759768E-2</v>
      </c>
      <c r="K1130">
        <v>1201.8770142972101</v>
      </c>
      <c r="L1130">
        <v>2.2811929516842543E-2</v>
      </c>
      <c r="M1130">
        <v>1175.0713690492</v>
      </c>
      <c r="N1130">
        <v>1.1336225771880399</v>
      </c>
      <c r="O1130">
        <v>94.430282354293894</v>
      </c>
      <c r="P1130">
        <v>23.300191741340001</v>
      </c>
      <c r="Q1130">
        <v>23.212299958777699</v>
      </c>
      <c r="R1130">
        <v>6590211</v>
      </c>
      <c r="S1130">
        <v>2.2677020461498103E-2</v>
      </c>
      <c r="U1130">
        <v>4.8899999999999997</v>
      </c>
      <c r="V1130">
        <v>39.285643999999998</v>
      </c>
      <c r="W1130">
        <v>7.9946840000000003</v>
      </c>
      <c r="X1130">
        <v>48.521970000000003</v>
      </c>
      <c r="Y1130">
        <v>64.099999999999994</v>
      </c>
      <c r="Z1130">
        <v>40.825700063854299</v>
      </c>
      <c r="AJ1130">
        <v>-0.91463732719421387</v>
      </c>
      <c r="AK1130">
        <v>-0.39282745122909551</v>
      </c>
      <c r="AL1130">
        <v>5.9544050000000001E-2</v>
      </c>
      <c r="AM1130">
        <f>VLOOKUP(D1130,[1]Sheet1!$C$1:$D$191,2,FALSE)</f>
        <v>168</v>
      </c>
    </row>
    <row r="1131" spans="1:39" x14ac:dyDescent="0.35">
      <c r="A1131">
        <v>2020</v>
      </c>
      <c r="B1131" t="s">
        <v>171</v>
      </c>
      <c r="C1131">
        <v>168</v>
      </c>
      <c r="D1131" t="s">
        <v>341</v>
      </c>
      <c r="F1131">
        <v>3179450</v>
      </c>
      <c r="G1131">
        <v>3179450</v>
      </c>
      <c r="H1131">
        <v>7354379549.4197798</v>
      </c>
      <c r="I1131">
        <v>8270468614.24051</v>
      </c>
      <c r="J1131">
        <v>-7.1489775772795319E-2</v>
      </c>
      <c r="K1131">
        <v>1093.3286458833099</v>
      </c>
      <c r="L1131">
        <v>-9.0315703788854867E-2</v>
      </c>
      <c r="M1131">
        <v>1201.8770142972101</v>
      </c>
      <c r="N1131">
        <v>6.3254229633807801</v>
      </c>
      <c r="O1131">
        <v>78.992278430473803</v>
      </c>
      <c r="P1131">
        <v>26.616822172663099</v>
      </c>
      <c r="Q1131">
        <v>25.776299999718599</v>
      </c>
      <c r="R1131">
        <v>6726595.5</v>
      </c>
      <c r="S1131">
        <v>2.069501264830519E-2</v>
      </c>
      <c r="U1131">
        <v>4.21</v>
      </c>
      <c r="V1131">
        <v>41.806331</v>
      </c>
      <c r="W1131">
        <v>6.8549069999999999</v>
      </c>
      <c r="X1131">
        <v>46.890509999999999</v>
      </c>
      <c r="Y1131">
        <v>72</v>
      </c>
      <c r="Z1131">
        <v>45.332784083034298</v>
      </c>
      <c r="AI1131">
        <v>1</v>
      </c>
      <c r="AJ1131">
        <v>-0.96220427751541138</v>
      </c>
      <c r="AK1131">
        <v>-0.45006117224693298</v>
      </c>
      <c r="AL1131">
        <v>5.9461E-2</v>
      </c>
      <c r="AM1131">
        <f>VLOOKUP(D1131,[1]Sheet1!$C$1:$D$191,2,FALSE)</f>
        <v>168</v>
      </c>
    </row>
    <row r="1132" spans="1:39" x14ac:dyDescent="0.35">
      <c r="A1132">
        <v>2017</v>
      </c>
      <c r="B1132" t="s">
        <v>172</v>
      </c>
      <c r="C1132">
        <v>169</v>
      </c>
      <c r="D1132" t="s">
        <v>342</v>
      </c>
      <c r="E1132">
        <v>1405</v>
      </c>
      <c r="F1132">
        <v>294125</v>
      </c>
      <c r="G1132">
        <v>295530</v>
      </c>
      <c r="H1132">
        <v>16503694943.285601</v>
      </c>
      <c r="I1132">
        <v>17071155481.499399</v>
      </c>
      <c r="J1132">
        <v>6.8925308726986351E-2</v>
      </c>
      <c r="K1132">
        <v>2351.5744174759502</v>
      </c>
      <c r="L1132">
        <v>5.2271106715725414E-2</v>
      </c>
      <c r="M1132">
        <v>2234.76098741846</v>
      </c>
      <c r="N1132">
        <v>0.82547860756802605</v>
      </c>
      <c r="Q1132">
        <v>12.335534888347301</v>
      </c>
      <c r="R1132">
        <v>7018147</v>
      </c>
      <c r="S1132">
        <v>1.5826911814812467E-2</v>
      </c>
      <c r="T1132">
        <v>63.177</v>
      </c>
      <c r="U1132">
        <v>2.37</v>
      </c>
      <c r="V1132">
        <v>25.735696000000001</v>
      </c>
      <c r="W1132">
        <v>3.0875300000000001</v>
      </c>
      <c r="X1132">
        <v>76.639359999999996</v>
      </c>
      <c r="Y1132">
        <v>25.510400000000001</v>
      </c>
      <c r="Z1132">
        <v>15.411257733938401</v>
      </c>
      <c r="AJ1132">
        <v>-0.90196168422698975</v>
      </c>
      <c r="AK1132">
        <v>-0.74976128339767456</v>
      </c>
      <c r="AL1132">
        <v>1.5217774999999999E-2</v>
      </c>
      <c r="AM1132">
        <f>VLOOKUP(D1132,[1]Sheet1!$C$1:$D$191,2,FALSE)</f>
        <v>169</v>
      </c>
    </row>
    <row r="1133" spans="1:39" x14ac:dyDescent="0.35">
      <c r="A1133">
        <v>2018</v>
      </c>
      <c r="B1133" t="s">
        <v>172</v>
      </c>
      <c r="C1133">
        <v>169</v>
      </c>
      <c r="D1133" t="s">
        <v>342</v>
      </c>
      <c r="F1133">
        <v>52525</v>
      </c>
      <c r="G1133">
        <v>52525</v>
      </c>
      <c r="H1133">
        <v>17534839203.111599</v>
      </c>
      <c r="I1133">
        <v>18141641089.796299</v>
      </c>
      <c r="J1133">
        <v>6.2479600075588608E-2</v>
      </c>
      <c r="K1133">
        <v>2459.97874636195</v>
      </c>
      <c r="L1133">
        <v>4.6098617198921145E-2</v>
      </c>
      <c r="M1133">
        <v>2351.5744174759502</v>
      </c>
      <c r="N1133">
        <v>2.04039266890201</v>
      </c>
      <c r="Q1133">
        <v>12.310264175206999</v>
      </c>
      <c r="R1133">
        <v>7128045</v>
      </c>
      <c r="S1133">
        <v>1.5659119137857898E-2</v>
      </c>
      <c r="U1133">
        <v>2.37</v>
      </c>
      <c r="V1133">
        <v>25.739765999999999</v>
      </c>
      <c r="W1133">
        <v>2.8952499999999999</v>
      </c>
      <c r="X1133">
        <v>77.226309999999998</v>
      </c>
      <c r="Y1133">
        <v>36.299999999999997</v>
      </c>
      <c r="Z1133">
        <v>14.4969749098337</v>
      </c>
      <c r="AJ1133">
        <v>-0.86312699317932129</v>
      </c>
      <c r="AK1133">
        <v>-0.82481789588928223</v>
      </c>
      <c r="AL1133">
        <v>1.7487249999999999E-2</v>
      </c>
      <c r="AM1133">
        <f>VLOOKUP(D1133,[1]Sheet1!$C$1:$D$191,2,FALSE)</f>
        <v>169</v>
      </c>
    </row>
    <row r="1134" spans="1:39" x14ac:dyDescent="0.35">
      <c r="A1134">
        <v>2019</v>
      </c>
      <c r="B1134" t="s">
        <v>172</v>
      </c>
      <c r="C1134">
        <v>169</v>
      </c>
      <c r="D1134" t="s">
        <v>342</v>
      </c>
      <c r="E1134">
        <v>24387.662909999999</v>
      </c>
      <c r="G1134">
        <v>24387.662909999999</v>
      </c>
      <c r="H1134">
        <v>18491844275.710602</v>
      </c>
      <c r="I1134">
        <v>18740561512.5555</v>
      </c>
      <c r="J1134">
        <v>5.4577350924847945E-2</v>
      </c>
      <c r="K1134">
        <v>2554.9563801924501</v>
      </c>
      <c r="L1134">
        <v>3.8609127810946331E-2</v>
      </c>
      <c r="M1134">
        <v>2459.97874636195</v>
      </c>
      <c r="N1134">
        <v>3.32255881256925</v>
      </c>
      <c r="Q1134">
        <v>12.4478555242012</v>
      </c>
      <c r="R1134">
        <v>7237636</v>
      </c>
      <c r="S1134">
        <v>1.5374622354376271E-2</v>
      </c>
      <c r="U1134">
        <v>2.14</v>
      </c>
      <c r="V1134">
        <v>26.887774</v>
      </c>
      <c r="W1134">
        <v>2.716253</v>
      </c>
      <c r="X1134">
        <v>78.167299999999997</v>
      </c>
      <c r="Y1134">
        <v>47.032299999999999</v>
      </c>
      <c r="Z1134">
        <v>13.7404020217342</v>
      </c>
      <c r="AJ1134">
        <v>-0.96878498792648315</v>
      </c>
      <c r="AK1134">
        <v>-0.75603979825973511</v>
      </c>
      <c r="AL1134">
        <v>1.9604475E-2</v>
      </c>
      <c r="AM1134">
        <f>VLOOKUP(D1134,[1]Sheet1!$C$1:$D$191,2,FALSE)</f>
        <v>169</v>
      </c>
    </row>
    <row r="1135" spans="1:39" x14ac:dyDescent="0.35">
      <c r="A1135">
        <v>2020</v>
      </c>
      <c r="B1135" t="s">
        <v>172</v>
      </c>
      <c r="C1135">
        <v>169</v>
      </c>
      <c r="D1135" t="s">
        <v>342</v>
      </c>
      <c r="E1135">
        <v>2826.4104006100001</v>
      </c>
      <c r="G1135">
        <v>2826.4104006100001</v>
      </c>
      <c r="H1135">
        <v>18584864138.189999</v>
      </c>
      <c r="I1135">
        <v>18981805250.242401</v>
      </c>
      <c r="J1135">
        <v>5.0303182901870001E-3</v>
      </c>
      <c r="K1135">
        <v>2529.74622698761</v>
      </c>
      <c r="L1135">
        <v>-9.8671560110709568E-3</v>
      </c>
      <c r="M1135">
        <v>2554.9563801924501</v>
      </c>
      <c r="N1135">
        <v>5.1040726295991901</v>
      </c>
      <c r="Q1135">
        <v>11.447710373245</v>
      </c>
      <c r="R1135">
        <v>7346533</v>
      </c>
      <c r="S1135">
        <v>1.5045934888131982E-2</v>
      </c>
      <c r="U1135">
        <v>1.77</v>
      </c>
      <c r="V1135">
        <v>27.387205999999999</v>
      </c>
      <c r="W1135">
        <v>2.6206010000000002</v>
      </c>
      <c r="X1135">
        <v>79.443579999999997</v>
      </c>
      <c r="Y1135">
        <v>54</v>
      </c>
      <c r="Z1135">
        <v>12.561911777868</v>
      </c>
      <c r="AJ1135">
        <v>-0.88288712501525879</v>
      </c>
      <c r="AK1135">
        <v>-0.84073436260223389</v>
      </c>
      <c r="AL1135">
        <v>3.9146225000000007E-2</v>
      </c>
      <c r="AM1135">
        <f>VLOOKUP(D1135,[1]Sheet1!$C$1:$D$191,2,FALSE)</f>
        <v>169</v>
      </c>
    </row>
    <row r="1136" spans="1:39" x14ac:dyDescent="0.35">
      <c r="A1136">
        <v>2017</v>
      </c>
      <c r="B1136" t="s">
        <v>173</v>
      </c>
      <c r="C1136">
        <v>170</v>
      </c>
      <c r="D1136" t="s">
        <v>379</v>
      </c>
      <c r="E1136">
        <v>89824.7329025832</v>
      </c>
      <c r="G1136">
        <v>89824.7329025832</v>
      </c>
      <c r="I1136">
        <v>6474308717.85289</v>
      </c>
      <c r="R1136">
        <v>37962</v>
      </c>
      <c r="S1136">
        <v>6.5224307986000638E-3</v>
      </c>
      <c r="AA1136">
        <v>2018</v>
      </c>
      <c r="AC1136">
        <v>0</v>
      </c>
      <c r="AF1136">
        <v>1</v>
      </c>
      <c r="AJ1136">
        <v>1.6343704462051389</v>
      </c>
      <c r="AK1136">
        <v>1.4850925207138059</v>
      </c>
      <c r="AM1136">
        <f>VLOOKUP(D1136,[1]Sheet1!$C$1:$D$191,2,FALSE)</f>
        <v>170</v>
      </c>
    </row>
    <row r="1137" spans="1:39" x14ac:dyDescent="0.35">
      <c r="A1137">
        <v>2019</v>
      </c>
      <c r="B1137" t="s">
        <v>173</v>
      </c>
      <c r="C1137">
        <v>170</v>
      </c>
      <c r="D1137" t="s">
        <v>379</v>
      </c>
      <c r="E1137">
        <v>42681.713229989997</v>
      </c>
      <c r="G1137">
        <v>42681.713229989997</v>
      </c>
      <c r="I1137">
        <v>6436467007.1193199</v>
      </c>
      <c r="R1137">
        <v>38563</v>
      </c>
      <c r="S1137">
        <v>8.2884484651989752E-3</v>
      </c>
      <c r="AA1137">
        <v>2018</v>
      </c>
      <c r="AC1137">
        <v>1</v>
      </c>
      <c r="AF1137">
        <v>1</v>
      </c>
      <c r="AG1137">
        <v>1</v>
      </c>
      <c r="AJ1137">
        <v>1.636428594589233</v>
      </c>
      <c r="AK1137">
        <v>1.5298575162887571</v>
      </c>
      <c r="AM1137">
        <f>VLOOKUP(D1137,[1]Sheet1!$C$1:$D$191,2,FALSE)</f>
        <v>170</v>
      </c>
    </row>
    <row r="1138" spans="1:39" x14ac:dyDescent="0.35">
      <c r="A1138">
        <v>2017</v>
      </c>
      <c r="B1138" t="s">
        <v>174</v>
      </c>
      <c r="C1138">
        <v>171</v>
      </c>
      <c r="D1138" t="s">
        <v>343</v>
      </c>
      <c r="E1138">
        <v>8081</v>
      </c>
      <c r="F1138">
        <v>1610425</v>
      </c>
      <c r="G1138">
        <v>1618506</v>
      </c>
      <c r="H1138">
        <v>66973743448.872498</v>
      </c>
      <c r="I1138">
        <v>66053040483.001602</v>
      </c>
      <c r="J1138">
        <v>6.1361082436029425E-2</v>
      </c>
      <c r="K1138">
        <v>1290.56409025621</v>
      </c>
      <c r="L1138">
        <v>5.3195740350563785E-2</v>
      </c>
      <c r="M1138">
        <v>1225.37913970924</v>
      </c>
      <c r="N1138">
        <v>4.5725365531752002</v>
      </c>
      <c r="P1138">
        <v>24.500546080909999</v>
      </c>
      <c r="Q1138">
        <v>16.919888936786101</v>
      </c>
      <c r="R1138">
        <v>51894938</v>
      </c>
      <c r="S1138">
        <v>7.7529197779946501E-3</v>
      </c>
      <c r="T1138">
        <v>67.402000000000001</v>
      </c>
      <c r="U1138">
        <v>3.83</v>
      </c>
      <c r="V1138">
        <v>4.3788754000000001</v>
      </c>
      <c r="W1138">
        <v>2.029544</v>
      </c>
      <c r="X1138">
        <v>84.503200000000007</v>
      </c>
      <c r="Y1138">
        <v>23.621099999999998</v>
      </c>
      <c r="AJ1138">
        <v>-0.95928293466567993</v>
      </c>
      <c r="AK1138">
        <v>-0.83983045816421509</v>
      </c>
      <c r="AL1138">
        <v>3.4550249999999998E-2</v>
      </c>
      <c r="AM1138">
        <f>VLOOKUP(D1138,[1]Sheet1!$C$1:$D$191,2,FALSE)</f>
        <v>171</v>
      </c>
    </row>
    <row r="1139" spans="1:39" x14ac:dyDescent="0.35">
      <c r="A1139">
        <v>2018</v>
      </c>
      <c r="B1139" t="s">
        <v>174</v>
      </c>
      <c r="C1139">
        <v>171</v>
      </c>
      <c r="D1139" t="s">
        <v>343</v>
      </c>
      <c r="E1139">
        <v>18525.79</v>
      </c>
      <c r="F1139">
        <v>1227675</v>
      </c>
      <c r="G1139">
        <v>1246200.79</v>
      </c>
      <c r="H1139">
        <v>71172235145.716202</v>
      </c>
      <c r="I1139">
        <v>67860515989.516998</v>
      </c>
      <c r="J1139">
        <v>6.2688622147107798E-2</v>
      </c>
      <c r="K1139">
        <v>1361.5683126404799</v>
      </c>
      <c r="L1139">
        <v>5.5017974636326503E-2</v>
      </c>
      <c r="M1139">
        <v>1290.56409025621</v>
      </c>
      <c r="N1139">
        <v>6.8723286566293504</v>
      </c>
      <c r="P1139">
        <v>26.209308582063802</v>
      </c>
      <c r="Q1139">
        <v>6.38116100422309</v>
      </c>
      <c r="R1139">
        <v>52272247</v>
      </c>
      <c r="S1139">
        <v>7.2706320604911407E-3</v>
      </c>
      <c r="T1139">
        <v>67.051000000000002</v>
      </c>
      <c r="U1139">
        <v>3.83</v>
      </c>
      <c r="V1139">
        <v>5.6340979999999998</v>
      </c>
      <c r="W1139">
        <v>1.3625970000000001</v>
      </c>
      <c r="X1139">
        <v>77.562200000000004</v>
      </c>
      <c r="Y1139">
        <v>29.379000000000001</v>
      </c>
      <c r="Z1139">
        <v>20.372329711914102</v>
      </c>
      <c r="AJ1139">
        <v>-1.0436719655990601</v>
      </c>
      <c r="AK1139">
        <v>-0.75043094158172607</v>
      </c>
      <c r="AL1139">
        <v>4.2920224999999999E-2</v>
      </c>
      <c r="AM1139">
        <f>VLOOKUP(D1139,[1]Sheet1!$C$1:$D$191,2,FALSE)</f>
        <v>171</v>
      </c>
    </row>
    <row r="1140" spans="1:39" x14ac:dyDescent="0.35">
      <c r="A1140">
        <v>2019</v>
      </c>
      <c r="B1140" t="s">
        <v>174</v>
      </c>
      <c r="C1140">
        <v>171</v>
      </c>
      <c r="D1140" t="s">
        <v>343</v>
      </c>
      <c r="E1140">
        <v>2954</v>
      </c>
      <c r="F1140">
        <v>1475186.139</v>
      </c>
      <c r="G1140">
        <v>1478140.139</v>
      </c>
      <c r="H1140">
        <v>75854734833.5625</v>
      </c>
      <c r="I1140">
        <v>75065106227.689194</v>
      </c>
      <c r="J1140">
        <v>6.5791100676541481E-2</v>
      </c>
      <c r="K1140">
        <v>1440.9898823665701</v>
      </c>
      <c r="L1140">
        <v>5.8330947473409167E-2</v>
      </c>
      <c r="M1140">
        <v>1361.5683126404799</v>
      </c>
      <c r="N1140">
        <v>8.8250669680455793</v>
      </c>
      <c r="P1140">
        <v>26.6379014764853</v>
      </c>
      <c r="Q1140">
        <v>13.7755198098588</v>
      </c>
      <c r="R1140">
        <v>52640713</v>
      </c>
      <c r="S1140">
        <v>7.0489795474068676E-3</v>
      </c>
      <c r="T1140">
        <v>64.468000000000004</v>
      </c>
      <c r="U1140">
        <v>3.55</v>
      </c>
      <c r="V1140">
        <v>6.8631586000000002</v>
      </c>
      <c r="W1140">
        <v>2.7612359999999998</v>
      </c>
      <c r="X1140">
        <v>76.881</v>
      </c>
      <c r="Y1140">
        <v>36.540500000000002</v>
      </c>
      <c r="AJ1140">
        <v>-1.0792920589447019</v>
      </c>
      <c r="AK1140">
        <v>-0.75354605913162231</v>
      </c>
      <c r="AL1140">
        <v>3.3337600000000002E-2</v>
      </c>
      <c r="AM1140">
        <f>VLOOKUP(D1140,[1]Sheet1!$C$1:$D$191,2,FALSE)</f>
        <v>171</v>
      </c>
    </row>
    <row r="1141" spans="1:39" x14ac:dyDescent="0.35">
      <c r="A1141">
        <v>2020</v>
      </c>
      <c r="B1141" t="s">
        <v>174</v>
      </c>
      <c r="C1141">
        <v>171</v>
      </c>
      <c r="D1141" t="s">
        <v>343</v>
      </c>
      <c r="E1141">
        <v>163507.74403037</v>
      </c>
      <c r="F1141">
        <v>1273667.7991527719</v>
      </c>
      <c r="G1141">
        <v>1437175.5431831419</v>
      </c>
      <c r="H1141">
        <v>68991135073.469803</v>
      </c>
      <c r="I1141">
        <v>79006113643.190598</v>
      </c>
      <c r="J1141">
        <v>-9.0483471798465054E-2</v>
      </c>
      <c r="K1141">
        <v>1301.31386350598</v>
      </c>
      <c r="L1141">
        <v>-9.6930603448233149E-2</v>
      </c>
      <c r="M1141">
        <v>1440.9898823665701</v>
      </c>
      <c r="P1141">
        <v>28.982899946700901</v>
      </c>
      <c r="R1141">
        <v>53016522</v>
      </c>
      <c r="S1141">
        <v>7.1391320250544475E-3</v>
      </c>
      <c r="T1141">
        <v>55.601999999999997</v>
      </c>
      <c r="U1141">
        <v>3.04</v>
      </c>
      <c r="V1141">
        <v>0</v>
      </c>
      <c r="W1141">
        <v>1.75665</v>
      </c>
      <c r="X1141">
        <v>81.175719999999998</v>
      </c>
      <c r="Y1141">
        <v>45.447699999999998</v>
      </c>
      <c r="AJ1141">
        <v>-1.195709228515625</v>
      </c>
      <c r="AK1141">
        <v>-0.62148326635360718</v>
      </c>
      <c r="AL1141">
        <v>1.807255E-2</v>
      </c>
      <c r="AM1141">
        <f>VLOOKUP(D1141,[1]Sheet1!$C$1:$D$191,2,FALSE)</f>
        <v>171</v>
      </c>
    </row>
    <row r="1142" spans="1:39" x14ac:dyDescent="0.35">
      <c r="A1142">
        <v>2017</v>
      </c>
      <c r="B1142" t="s">
        <v>175</v>
      </c>
      <c r="C1142">
        <v>172</v>
      </c>
      <c r="D1142" t="s">
        <v>380</v>
      </c>
      <c r="E1142">
        <v>40040</v>
      </c>
      <c r="G1142">
        <v>40040</v>
      </c>
      <c r="H1142">
        <v>1932815003.72699</v>
      </c>
      <c r="I1142">
        <v>1998518518.5185201</v>
      </c>
      <c r="J1142">
        <v>3.3813747228380903E-2</v>
      </c>
      <c r="K1142">
        <v>10960.6049819498</v>
      </c>
      <c r="L1142">
        <v>2.9733412605482984E-2</v>
      </c>
      <c r="M1142">
        <v>10644.1189999038</v>
      </c>
      <c r="N1142">
        <v>0.104262078958441</v>
      </c>
      <c r="P1142">
        <v>58.873276501111903</v>
      </c>
      <c r="Q1142">
        <v>17.610822831727202</v>
      </c>
      <c r="R1142">
        <v>176342</v>
      </c>
      <c r="S1142">
        <v>3.9625155141591612E-3</v>
      </c>
      <c r="T1142">
        <v>82.78</v>
      </c>
      <c r="V1142">
        <v>42.933371000000001</v>
      </c>
      <c r="W1142">
        <v>0</v>
      </c>
      <c r="X1142">
        <v>100</v>
      </c>
      <c r="Y1142">
        <v>59.1601</v>
      </c>
      <c r="Z1142">
        <v>20.747129440307599</v>
      </c>
      <c r="AJ1142">
        <v>0.59834074974060059</v>
      </c>
      <c r="AK1142">
        <v>0.31573545932769781</v>
      </c>
      <c r="AM1142">
        <f>VLOOKUP(D1142,[1]Sheet1!$C$1:$D$191,2,FALSE)</f>
        <v>172</v>
      </c>
    </row>
    <row r="1143" spans="1:39" x14ac:dyDescent="0.35">
      <c r="A1143">
        <v>2018</v>
      </c>
      <c r="B1143" t="s">
        <v>175</v>
      </c>
      <c r="C1143">
        <v>172</v>
      </c>
      <c r="D1143" t="s">
        <v>380</v>
      </c>
      <c r="E1143">
        <v>32.909999999999997</v>
      </c>
      <c r="G1143">
        <v>32.909999999999997</v>
      </c>
      <c r="H1143">
        <v>1988599864.9790499</v>
      </c>
      <c r="I1143">
        <v>2060962962.96296</v>
      </c>
      <c r="J1143">
        <v>2.8861976518441568E-2</v>
      </c>
      <c r="K1143">
        <v>11233.948518950399</v>
      </c>
      <c r="L1143">
        <v>2.493872714606065E-2</v>
      </c>
      <c r="M1143">
        <v>10960.6049819498</v>
      </c>
      <c r="N1143">
        <v>1.9356189315060199</v>
      </c>
      <c r="P1143">
        <v>55.902940013657798</v>
      </c>
      <c r="R1143">
        <v>177017</v>
      </c>
      <c r="S1143">
        <v>3.8277891823842308E-3</v>
      </c>
      <c r="T1143">
        <v>83.882000000000005</v>
      </c>
      <c r="V1143">
        <v>42.513564000000002</v>
      </c>
      <c r="W1143">
        <v>3.290762</v>
      </c>
      <c r="X1143">
        <v>100</v>
      </c>
      <c r="Y1143">
        <v>60.1126</v>
      </c>
      <c r="Z1143">
        <v>14.656359672546399</v>
      </c>
      <c r="AJ1143">
        <v>0.63182812929153442</v>
      </c>
      <c r="AK1143">
        <v>0.33710950613021851</v>
      </c>
      <c r="AM1143">
        <f>VLOOKUP(D1143,[1]Sheet1!$C$1:$D$191,2,FALSE)</f>
        <v>172</v>
      </c>
    </row>
    <row r="1144" spans="1:39" x14ac:dyDescent="0.35">
      <c r="A1144">
        <v>2020</v>
      </c>
      <c r="B1144" t="s">
        <v>175</v>
      </c>
      <c r="C1144">
        <v>172</v>
      </c>
      <c r="D1144" t="s">
        <v>380</v>
      </c>
      <c r="E1144">
        <v>9662.61</v>
      </c>
      <c r="G1144">
        <v>9662.61</v>
      </c>
      <c r="H1144">
        <v>1493611964.1447599</v>
      </c>
      <c r="I1144">
        <v>1499296296.2962999</v>
      </c>
      <c r="J1144">
        <v>-0.24361155349645253</v>
      </c>
      <c r="K1144">
        <v>8379.3097567728601</v>
      </c>
      <c r="L1144">
        <v>-0.24611092401533305</v>
      </c>
      <c r="M1144">
        <v>11114.778053825101</v>
      </c>
      <c r="N1144">
        <v>-1.7558083351759399</v>
      </c>
      <c r="P1144">
        <v>78.601788493367295</v>
      </c>
      <c r="R1144">
        <v>178250</v>
      </c>
      <c r="S1144">
        <v>3.3153027394870007E-3</v>
      </c>
      <c r="T1144">
        <v>60.87</v>
      </c>
      <c r="V1144">
        <v>43.142643</v>
      </c>
      <c r="W1144">
        <v>0</v>
      </c>
      <c r="X1144">
        <v>0</v>
      </c>
      <c r="Y1144">
        <v>62.064</v>
      </c>
      <c r="Z1144">
        <v>16.819969177246101</v>
      </c>
      <c r="AJ1144">
        <v>0.66091573238372803</v>
      </c>
      <c r="AK1144">
        <v>0.37211340665817261</v>
      </c>
      <c r="AM1144">
        <f>VLOOKUP(D1144,[1]Sheet1!$C$1:$D$191,2,FALSE)</f>
        <v>172</v>
      </c>
    </row>
    <row r="1145" spans="1:39" x14ac:dyDescent="0.35">
      <c r="A1145">
        <v>2017</v>
      </c>
      <c r="B1145" t="s">
        <v>176</v>
      </c>
      <c r="C1145">
        <v>173</v>
      </c>
      <c r="D1145" t="s">
        <v>344</v>
      </c>
      <c r="F1145">
        <v>4584475</v>
      </c>
      <c r="G1145">
        <v>4584475</v>
      </c>
      <c r="H1145">
        <v>9469953672.8477898</v>
      </c>
      <c r="I1145">
        <v>7536402852.8580198</v>
      </c>
      <c r="J1145">
        <v>7.1000004186429946E-2</v>
      </c>
      <c r="K1145">
        <v>1042.26391757642</v>
      </c>
      <c r="L1145">
        <v>4.503051615267855E-2</v>
      </c>
      <c r="M1145">
        <v>997.35261455670798</v>
      </c>
      <c r="O1145">
        <v>53.7861046057767</v>
      </c>
      <c r="P1145">
        <v>13.0145857124699</v>
      </c>
      <c r="R1145">
        <v>9085946</v>
      </c>
      <c r="S1145">
        <v>2.4850459036700263E-2</v>
      </c>
      <c r="U1145">
        <v>1.93</v>
      </c>
      <c r="V1145">
        <v>12.138509000000001</v>
      </c>
      <c r="W1145">
        <v>14.3085</v>
      </c>
      <c r="X1145">
        <v>83.73724</v>
      </c>
      <c r="Y1145">
        <v>21.96</v>
      </c>
      <c r="Z1145">
        <v>30.237470626831101</v>
      </c>
      <c r="AJ1145">
        <v>-1.374056339263916</v>
      </c>
      <c r="AK1145">
        <v>-1.09777295589447</v>
      </c>
      <c r="AL1145">
        <v>4.1015349999999999E-2</v>
      </c>
      <c r="AM1145">
        <f>VLOOKUP(D1145,[1]Sheet1!$C$1:$D$191,2,FALSE)</f>
        <v>173</v>
      </c>
    </row>
    <row r="1146" spans="1:39" x14ac:dyDescent="0.35">
      <c r="A1146">
        <v>2018</v>
      </c>
      <c r="B1146" t="s">
        <v>176</v>
      </c>
      <c r="C1146">
        <v>173</v>
      </c>
      <c r="D1146" t="s">
        <v>344</v>
      </c>
      <c r="E1146">
        <v>9072.9</v>
      </c>
      <c r="F1146">
        <v>4717375</v>
      </c>
      <c r="G1146">
        <v>4726447.9000000004</v>
      </c>
      <c r="H1146">
        <v>10189670046.8255</v>
      </c>
      <c r="I1146">
        <v>7764999999.45362</v>
      </c>
      <c r="J1146">
        <v>7.5999988895540049E-2</v>
      </c>
      <c r="K1146">
        <v>1094.8002018221</v>
      </c>
      <c r="L1146">
        <v>5.0405932086608943E-2</v>
      </c>
      <c r="M1146">
        <v>1042.26391757642</v>
      </c>
      <c r="O1146">
        <v>55.846111411330298</v>
      </c>
      <c r="P1146">
        <v>11.942252436334799</v>
      </c>
      <c r="R1146">
        <v>9307333</v>
      </c>
      <c r="S1146">
        <v>2.4365872304325825E-2</v>
      </c>
      <c r="U1146">
        <v>1.93</v>
      </c>
      <c r="V1146">
        <v>11.784815999999999</v>
      </c>
      <c r="W1146">
        <v>12.823119999999999</v>
      </c>
      <c r="X1146">
        <v>77.867440000000002</v>
      </c>
      <c r="AJ1146">
        <v>-1.303506016731262</v>
      </c>
      <c r="AK1146">
        <v>-1.1005798578262329</v>
      </c>
      <c r="AL1146">
        <v>1.5369849999999999E-2</v>
      </c>
      <c r="AM1146">
        <f>VLOOKUP(D1146,[1]Sheet1!$C$1:$D$191,2,FALSE)</f>
        <v>173</v>
      </c>
    </row>
    <row r="1147" spans="1:39" x14ac:dyDescent="0.35">
      <c r="A1147">
        <v>2019</v>
      </c>
      <c r="B1147" t="s">
        <v>176</v>
      </c>
      <c r="C1147">
        <v>173</v>
      </c>
      <c r="D1147" t="s">
        <v>344</v>
      </c>
      <c r="F1147">
        <v>4018901.9603951001</v>
      </c>
      <c r="G1147">
        <v>4018901.9603951001</v>
      </c>
      <c r="H1147">
        <v>10943705646.9105</v>
      </c>
      <c r="I1147">
        <v>8300813599.3084002</v>
      </c>
      <c r="J1147">
        <v>7.4000001631054982E-2</v>
      </c>
      <c r="K1147">
        <v>1148.34676712493</v>
      </c>
      <c r="L1147">
        <v>4.8909897179148558E-2</v>
      </c>
      <c r="M1147">
        <v>1094.8002018221</v>
      </c>
      <c r="O1147">
        <v>56.045015914589598</v>
      </c>
      <c r="P1147">
        <v>11.582367305731999</v>
      </c>
      <c r="R1147">
        <v>9529966</v>
      </c>
      <c r="S1147">
        <v>2.3920171331572641E-2</v>
      </c>
      <c r="U1147">
        <v>1.93</v>
      </c>
      <c r="V1147">
        <v>14.968582</v>
      </c>
      <c r="W1147">
        <v>13.545019999999999</v>
      </c>
      <c r="X1147">
        <v>82.228610000000003</v>
      </c>
      <c r="AJ1147">
        <v>-1.2538548707962041</v>
      </c>
      <c r="AK1147">
        <v>-1.061833381652832</v>
      </c>
      <c r="AL1147">
        <v>5.1020099999999999E-2</v>
      </c>
      <c r="AM1147">
        <f>VLOOKUP(D1147,[1]Sheet1!$C$1:$D$191,2,FALSE)</f>
        <v>173</v>
      </c>
    </row>
    <row r="1148" spans="1:39" x14ac:dyDescent="0.35">
      <c r="A1148">
        <v>2020</v>
      </c>
      <c r="B1148" t="s">
        <v>176</v>
      </c>
      <c r="C1148">
        <v>173</v>
      </c>
      <c r="D1148" t="s">
        <v>344</v>
      </c>
      <c r="E1148">
        <v>8695.73</v>
      </c>
      <c r="F1148">
        <v>5119069.9968600003</v>
      </c>
      <c r="G1148">
        <v>5127765.7268600008</v>
      </c>
      <c r="H1148">
        <v>11425228817.4554</v>
      </c>
      <c r="I1148">
        <v>8133963550.6574202</v>
      </c>
      <c r="J1148">
        <v>4.4000011155347456E-2</v>
      </c>
      <c r="K1148">
        <v>1171.90127480359</v>
      </c>
      <c r="L1148">
        <v>2.051166803702725E-2</v>
      </c>
      <c r="M1148">
        <v>1148.34676712493</v>
      </c>
      <c r="O1148">
        <v>55.749104019495398</v>
      </c>
      <c r="P1148">
        <v>13.0320029655913</v>
      </c>
      <c r="R1148">
        <v>9749310</v>
      </c>
      <c r="S1148">
        <v>2.3016241610935444E-2</v>
      </c>
      <c r="U1148">
        <v>1.94</v>
      </c>
      <c r="V1148">
        <v>21.477674</v>
      </c>
      <c r="W1148">
        <v>10.0966</v>
      </c>
      <c r="X1148">
        <v>79.146420000000006</v>
      </c>
      <c r="Y1148">
        <v>27.5441</v>
      </c>
      <c r="Z1148">
        <v>34.667645819591101</v>
      </c>
      <c r="AJ1148">
        <v>-1.2505894899368291</v>
      </c>
      <c r="AK1148">
        <v>-1.072057723999023</v>
      </c>
      <c r="AL1148">
        <v>2.6664725E-2</v>
      </c>
      <c r="AM1148">
        <f>VLOOKUP(D1148,[1]Sheet1!$C$1:$D$191,2,FALSE)</f>
        <v>173</v>
      </c>
    </row>
    <row r="1149" spans="1:39" x14ac:dyDescent="0.35">
      <c r="A1149">
        <v>2017</v>
      </c>
      <c r="B1149" t="s">
        <v>177</v>
      </c>
      <c r="C1149">
        <v>174</v>
      </c>
      <c r="D1149" t="s">
        <v>381</v>
      </c>
      <c r="E1149">
        <v>93707.33</v>
      </c>
      <c r="G1149">
        <v>93707.33</v>
      </c>
      <c r="H1149">
        <v>23792567178.587399</v>
      </c>
      <c r="I1149">
        <v>24040211327.489799</v>
      </c>
      <c r="J1149">
        <v>-4.8008284287868387E-2</v>
      </c>
      <c r="K1149">
        <v>17537.954021896399</v>
      </c>
      <c r="L1149">
        <v>-4.9929624339022018E-2</v>
      </c>
      <c r="M1149">
        <v>18459.636750272301</v>
      </c>
      <c r="N1149">
        <v>1.88038440183532</v>
      </c>
      <c r="P1149">
        <v>37.1618469454802</v>
      </c>
      <c r="Q1149">
        <v>32.754879404852502</v>
      </c>
      <c r="R1149">
        <v>1356633</v>
      </c>
      <c r="S1149">
        <v>2.0223133994881435E-3</v>
      </c>
      <c r="U1149">
        <v>7.04</v>
      </c>
      <c r="V1149">
        <v>714.47109</v>
      </c>
      <c r="W1149">
        <v>3.2507090000000001</v>
      </c>
      <c r="X1149">
        <v>100</v>
      </c>
      <c r="Y1149">
        <v>70.599999999999994</v>
      </c>
      <c r="AJ1149">
        <v>-0.13201761245727539</v>
      </c>
      <c r="AK1149">
        <v>9.8476270213723183E-3</v>
      </c>
      <c r="AM1149">
        <f>VLOOKUP(D1149,[1]Sheet1!$C$1:$D$191,2,FALSE)</f>
        <v>174</v>
      </c>
    </row>
    <row r="1150" spans="1:39" x14ac:dyDescent="0.35">
      <c r="A1150">
        <v>2018</v>
      </c>
      <c r="B1150" t="s">
        <v>177</v>
      </c>
      <c r="C1150">
        <v>174</v>
      </c>
      <c r="D1150" t="s">
        <v>381</v>
      </c>
      <c r="E1150">
        <v>27156.61</v>
      </c>
      <c r="G1150">
        <v>27156.61</v>
      </c>
      <c r="H1150">
        <v>23649225326.252998</v>
      </c>
      <c r="I1150">
        <v>24569257295.091801</v>
      </c>
      <c r="J1150">
        <v>-6.0246484231177696E-3</v>
      </c>
      <c r="K1150">
        <v>17399.460802294401</v>
      </c>
      <c r="L1150">
        <v>-7.8967717345528026E-3</v>
      </c>
      <c r="M1150">
        <v>17537.954021896399</v>
      </c>
      <c r="N1150">
        <v>1.01856930188822</v>
      </c>
      <c r="P1150">
        <v>37.849689164419601</v>
      </c>
      <c r="Q1150">
        <v>30.479706543130899</v>
      </c>
      <c r="R1150">
        <v>1359193</v>
      </c>
      <c r="S1150">
        <v>1.8870247148639315E-3</v>
      </c>
      <c r="U1150">
        <v>7.16</v>
      </c>
      <c r="V1150">
        <v>714.17854</v>
      </c>
      <c r="W1150">
        <v>0</v>
      </c>
      <c r="X1150">
        <v>0</v>
      </c>
      <c r="Y1150">
        <v>72.8</v>
      </c>
      <c r="AJ1150">
        <v>-0.16924995183944699</v>
      </c>
      <c r="AK1150">
        <v>-0.13184215128421781</v>
      </c>
      <c r="AM1150">
        <f>VLOOKUP(D1150,[1]Sheet1!$C$1:$D$191,2,FALSE)</f>
        <v>174</v>
      </c>
    </row>
    <row r="1151" spans="1:39" x14ac:dyDescent="0.35">
      <c r="A1151">
        <v>2019</v>
      </c>
      <c r="B1151" t="s">
        <v>177</v>
      </c>
      <c r="C1151">
        <v>174</v>
      </c>
      <c r="D1151" t="s">
        <v>381</v>
      </c>
      <c r="E1151">
        <v>3207.4245668799999</v>
      </c>
      <c r="G1151">
        <v>3207.4245668799999</v>
      </c>
      <c r="H1151">
        <v>23734663451.5336</v>
      </c>
      <c r="I1151">
        <v>23775659262.573502</v>
      </c>
      <c r="J1151">
        <v>3.6127240576356917E-3</v>
      </c>
      <c r="K1151">
        <v>17400.9710162015</v>
      </c>
      <c r="L1151">
        <v>8.6796592392076501E-5</v>
      </c>
      <c r="M1151">
        <v>17399.460802294401</v>
      </c>
      <c r="N1151">
        <v>1.0005429302723701</v>
      </c>
      <c r="P1151">
        <v>40.929077198842599</v>
      </c>
      <c r="Q1151">
        <v>32.899537992233</v>
      </c>
      <c r="R1151">
        <v>1363985</v>
      </c>
      <c r="S1151">
        <v>3.5256214533182558E-3</v>
      </c>
      <c r="T1151">
        <v>40.930999999999997</v>
      </c>
      <c r="U1151">
        <v>7.16</v>
      </c>
      <c r="V1151">
        <v>725.16102000000001</v>
      </c>
      <c r="W1151">
        <v>0</v>
      </c>
      <c r="X1151">
        <v>93.270399999999995</v>
      </c>
      <c r="Y1151">
        <v>75</v>
      </c>
      <c r="AJ1151">
        <v>-0.17006182670593259</v>
      </c>
      <c r="AK1151">
        <v>-0.19231171905994421</v>
      </c>
      <c r="AM1151">
        <f>VLOOKUP(D1151,[1]Sheet1!$C$1:$D$191,2,FALSE)</f>
        <v>174</v>
      </c>
    </row>
    <row r="1152" spans="1:39" x14ac:dyDescent="0.35">
      <c r="A1152">
        <v>2020</v>
      </c>
      <c r="B1152" t="s">
        <v>177</v>
      </c>
      <c r="C1152">
        <v>174</v>
      </c>
      <c r="D1152" t="s">
        <v>381</v>
      </c>
      <c r="E1152">
        <v>5237.2878114799996</v>
      </c>
      <c r="G1152">
        <v>5237.2878114799996</v>
      </c>
      <c r="H1152">
        <v>21580059922.320499</v>
      </c>
      <c r="I1152">
        <v>20807716174.0546</v>
      </c>
      <c r="J1152">
        <v>-9.0778768934845891E-2</v>
      </c>
      <c r="K1152">
        <v>15789.613801108901</v>
      </c>
      <c r="L1152">
        <v>-9.2601568820056934E-2</v>
      </c>
      <c r="M1152">
        <v>17400.9710162015</v>
      </c>
      <c r="N1152">
        <v>0.59898633082464303</v>
      </c>
      <c r="P1152">
        <v>46.636376905005903</v>
      </c>
      <c r="R1152">
        <v>1366725</v>
      </c>
      <c r="S1152">
        <v>2.008819745085173E-3</v>
      </c>
      <c r="T1152">
        <v>39.384</v>
      </c>
      <c r="U1152">
        <v>7.16</v>
      </c>
      <c r="V1152">
        <v>712.09990000000005</v>
      </c>
      <c r="W1152">
        <v>4.7132639999999997</v>
      </c>
      <c r="X1152">
        <v>93.507480000000001</v>
      </c>
      <c r="Y1152">
        <v>77.281300000000002</v>
      </c>
      <c r="AJ1152">
        <v>-0.17046570777893069</v>
      </c>
      <c r="AK1152">
        <v>-0.1777481734752655</v>
      </c>
      <c r="AM1152">
        <f>VLOOKUP(D1152,[1]Sheet1!$C$1:$D$191,2,FALSE)</f>
        <v>174</v>
      </c>
    </row>
    <row r="1153" spans="1:39" x14ac:dyDescent="0.35">
      <c r="A1153">
        <v>2018</v>
      </c>
      <c r="B1153" t="s">
        <v>178</v>
      </c>
      <c r="C1153">
        <v>175</v>
      </c>
      <c r="D1153" t="s">
        <v>345</v>
      </c>
      <c r="E1153">
        <v>2222</v>
      </c>
      <c r="G1153">
        <v>2222</v>
      </c>
      <c r="H1153">
        <v>52306739842.6194</v>
      </c>
      <c r="I1153">
        <v>47112470051.770103</v>
      </c>
      <c r="J1153">
        <v>1.5000000000000051E-2</v>
      </c>
      <c r="K1153">
        <v>5262.3687047336798</v>
      </c>
      <c r="L1153">
        <v>6.2448616773965624E-3</v>
      </c>
      <c r="M1153">
        <v>5229.7098898586</v>
      </c>
      <c r="N1153">
        <v>2.2685469037399901</v>
      </c>
      <c r="O1153">
        <v>91.672576536982504</v>
      </c>
      <c r="P1153">
        <v>20.766485823452001</v>
      </c>
      <c r="Q1153">
        <v>21.402262398242001</v>
      </c>
      <c r="R1153">
        <v>9939771</v>
      </c>
      <c r="S1153">
        <v>8.7008030113152647E-3</v>
      </c>
      <c r="U1153">
        <v>2.65</v>
      </c>
      <c r="V1153">
        <v>32.848056</v>
      </c>
      <c r="W1153">
        <v>6.246556</v>
      </c>
      <c r="X1153">
        <v>61.778379999999999</v>
      </c>
      <c r="Y1153">
        <v>79.8</v>
      </c>
      <c r="Z1153">
        <v>28.972490367006898</v>
      </c>
      <c r="AF1153">
        <v>1</v>
      </c>
      <c r="AJ1153">
        <v>-0.61980080604553223</v>
      </c>
      <c r="AK1153">
        <v>-0.31438833475112921</v>
      </c>
      <c r="AL1153">
        <v>2.6322600000000002E-2</v>
      </c>
      <c r="AM1153">
        <f>VLOOKUP(D1153,[1]Sheet1!$C$1:$D$191,2,FALSE)</f>
        <v>175</v>
      </c>
    </row>
    <row r="1154" spans="1:39" x14ac:dyDescent="0.35">
      <c r="A1154">
        <v>2018</v>
      </c>
      <c r="B1154" t="s">
        <v>179</v>
      </c>
      <c r="C1154">
        <v>176</v>
      </c>
      <c r="D1154" t="s">
        <v>382</v>
      </c>
      <c r="E1154">
        <v>6491.61</v>
      </c>
      <c r="G1154">
        <v>6491.61</v>
      </c>
      <c r="H1154">
        <v>12195757028.087799</v>
      </c>
      <c r="I1154">
        <v>12615800000</v>
      </c>
      <c r="J1154">
        <v>2.6298898599391704E-2</v>
      </c>
      <c r="K1154">
        <v>31054.823264813698</v>
      </c>
      <c r="L1154">
        <v>2.0465947284136813E-2</v>
      </c>
      <c r="M1154">
        <v>30432.003485724199</v>
      </c>
      <c r="N1154">
        <v>2.2658634667873598</v>
      </c>
      <c r="O1154">
        <v>76.204124986128505</v>
      </c>
      <c r="Q1154">
        <v>17.664761648092099</v>
      </c>
      <c r="R1154">
        <v>392717</v>
      </c>
      <c r="S1154">
        <v>5.7159686031473681E-3</v>
      </c>
      <c r="V1154">
        <v>127.79125000000001</v>
      </c>
      <c r="W1154">
        <v>5.06935</v>
      </c>
      <c r="X1154">
        <v>61.14246</v>
      </c>
      <c r="Y1154">
        <v>83</v>
      </c>
      <c r="AJ1154">
        <v>6.8974435329437256E-2</v>
      </c>
      <c r="AK1154">
        <v>0.16780361533164981</v>
      </c>
      <c r="AM1154">
        <f>VLOOKUP(D1154,[1]Sheet1!$C$1:$D$191,2,FALSE)</f>
        <v>176</v>
      </c>
    </row>
    <row r="1155" spans="1:39" x14ac:dyDescent="0.35">
      <c r="A1155">
        <v>2019</v>
      </c>
      <c r="B1155" t="s">
        <v>179</v>
      </c>
      <c r="C1155">
        <v>176</v>
      </c>
      <c r="D1155" t="s">
        <v>382</v>
      </c>
      <c r="E1155">
        <v>21126</v>
      </c>
      <c r="G1155">
        <v>21126</v>
      </c>
      <c r="H1155">
        <v>12030228260.936199</v>
      </c>
      <c r="I1155">
        <v>13016200000</v>
      </c>
      <c r="J1155">
        <v>-1.357265209288558E-2</v>
      </c>
      <c r="K1155">
        <v>30481.353673113801</v>
      </c>
      <c r="L1155">
        <v>-1.846636146693709E-2</v>
      </c>
      <c r="M1155">
        <v>31054.823264813698</v>
      </c>
      <c r="N1155">
        <v>2.4912352736804602</v>
      </c>
      <c r="O1155">
        <v>72.547364054024996</v>
      </c>
      <c r="Q1155">
        <v>18.844109647977099</v>
      </c>
      <c r="R1155">
        <v>394675</v>
      </c>
      <c r="S1155">
        <v>4.9857785631892684E-3</v>
      </c>
      <c r="T1155">
        <v>47.917000000000002</v>
      </c>
      <c r="V1155">
        <v>126.85171</v>
      </c>
      <c r="W1155">
        <v>4.9381389999999996</v>
      </c>
      <c r="X1155">
        <v>60.275410000000001</v>
      </c>
      <c r="Y1155">
        <v>90.693299999999994</v>
      </c>
      <c r="AJ1155">
        <v>4.5315820723772049E-2</v>
      </c>
      <c r="AK1155">
        <v>-5.7395949959754937E-2</v>
      </c>
      <c r="AM1155">
        <f>VLOOKUP(D1155,[1]Sheet1!$C$1:$D$191,2,FALSE)</f>
        <v>176</v>
      </c>
    </row>
    <row r="1156" spans="1:39" x14ac:dyDescent="0.35">
      <c r="A1156">
        <v>2020</v>
      </c>
      <c r="B1156" t="s">
        <v>179</v>
      </c>
      <c r="C1156">
        <v>176</v>
      </c>
      <c r="D1156" t="s">
        <v>382</v>
      </c>
      <c r="E1156">
        <v>36452.480000000003</v>
      </c>
      <c r="G1156">
        <v>36452.480000000003</v>
      </c>
      <c r="H1156">
        <v>9452936752.7172203</v>
      </c>
      <c r="I1156">
        <v>9958200000</v>
      </c>
      <c r="J1156">
        <v>-0.21423463065848866</v>
      </c>
      <c r="K1156">
        <v>23879.313683565299</v>
      </c>
      <c r="L1156">
        <v>-0.21659274257796032</v>
      </c>
      <c r="M1156">
        <v>30481.353673113801</v>
      </c>
      <c r="N1156">
        <v>3.8521098005455799E-2</v>
      </c>
      <c r="O1156">
        <v>57.930248438472802</v>
      </c>
      <c r="Q1156">
        <v>26.892257857845799</v>
      </c>
      <c r="R1156">
        <v>395863</v>
      </c>
      <c r="S1156">
        <v>3.0100715778805347E-3</v>
      </c>
      <c r="V1156">
        <v>123.58053</v>
      </c>
      <c r="W1156">
        <v>4.4972329999999996</v>
      </c>
      <c r="X1156">
        <v>57.463279999999997</v>
      </c>
      <c r="Y1156">
        <v>92.443700000000007</v>
      </c>
      <c r="AJ1156">
        <v>2.1098349243402481E-2</v>
      </c>
      <c r="AK1156">
        <v>1.366153708659112E-3</v>
      </c>
      <c r="AM1156">
        <f>VLOOKUP(D1156,[1]Sheet1!$C$1:$D$191,2,FALSE)</f>
        <v>176</v>
      </c>
    </row>
    <row r="1157" spans="1:39" x14ac:dyDescent="0.35">
      <c r="A1157">
        <v>2018</v>
      </c>
      <c r="B1157" t="s">
        <v>180</v>
      </c>
      <c r="C1157">
        <v>177</v>
      </c>
      <c r="D1157" t="s">
        <v>383</v>
      </c>
      <c r="E1157">
        <v>1297</v>
      </c>
      <c r="G1157">
        <v>1297</v>
      </c>
      <c r="H1157">
        <v>6819905984.6490898</v>
      </c>
      <c r="I1157">
        <v>7225977000</v>
      </c>
      <c r="J1157">
        <v>-4.3280130033933311E-3</v>
      </c>
      <c r="K1157">
        <v>106843.16373939101</v>
      </c>
      <c r="L1157">
        <v>-8.2744498868860261E-3</v>
      </c>
      <c r="M1157">
        <v>107734.608357327</v>
      </c>
      <c r="O1157">
        <v>77.555270380738804</v>
      </c>
      <c r="R1157">
        <v>63831</v>
      </c>
      <c r="S1157">
        <v>3.9793639309195009E-3</v>
      </c>
      <c r="V1157">
        <v>0</v>
      </c>
      <c r="W1157">
        <v>3.1758039999999998</v>
      </c>
      <c r="X1157">
        <v>95.678389999999993</v>
      </c>
      <c r="Z1157">
        <v>22.3407592773438</v>
      </c>
      <c r="AI1157">
        <v>1</v>
      </c>
      <c r="AJ1157">
        <v>0.8167726993560791</v>
      </c>
      <c r="AK1157">
        <v>0.81393629312515259</v>
      </c>
      <c r="AM1157">
        <f>VLOOKUP(D1157,[1]Sheet1!$C$1:$D$191,2,FALSE)</f>
        <v>177</v>
      </c>
    </row>
    <row r="1158" spans="1:39" x14ac:dyDescent="0.35">
      <c r="A1158">
        <v>2019</v>
      </c>
      <c r="B1158" t="s">
        <v>180</v>
      </c>
      <c r="C1158">
        <v>177</v>
      </c>
      <c r="D1158" t="s">
        <v>383</v>
      </c>
      <c r="E1158">
        <v>23614.14001743</v>
      </c>
      <c r="G1158">
        <v>23614.14001743</v>
      </c>
      <c r="H1158">
        <v>6840793088.0543003</v>
      </c>
      <c r="I1158">
        <v>7423465000</v>
      </c>
      <c r="J1158">
        <v>3.0626673523396404E-3</v>
      </c>
      <c r="K1158">
        <v>106708.987911684</v>
      </c>
      <c r="L1158">
        <v>-1.2558204288510401E-3</v>
      </c>
      <c r="M1158">
        <v>106843.16373939101</v>
      </c>
      <c r="O1158">
        <v>77.560101650644299</v>
      </c>
      <c r="R1158">
        <v>64107</v>
      </c>
      <c r="S1158">
        <v>4.3239178455609347E-3</v>
      </c>
      <c r="V1158">
        <v>0</v>
      </c>
      <c r="W1158">
        <v>2.9958960000000001</v>
      </c>
      <c r="X1158">
        <v>96.696349999999995</v>
      </c>
      <c r="AI1158">
        <v>1</v>
      </c>
      <c r="AJ1158">
        <v>0.78417491912841797</v>
      </c>
      <c r="AK1158">
        <v>0.83512485027313232</v>
      </c>
      <c r="AM1158">
        <f>VLOOKUP(D1158,[1]Sheet1!$C$1:$D$191,2,FALSE)</f>
        <v>177</v>
      </c>
    </row>
    <row r="1159" spans="1:39" x14ac:dyDescent="0.35">
      <c r="A1159">
        <v>2020</v>
      </c>
      <c r="B1159" t="s">
        <v>180</v>
      </c>
      <c r="C1159">
        <v>177</v>
      </c>
      <c r="D1159" t="s">
        <v>383</v>
      </c>
      <c r="E1159">
        <v>1378.3716438599999</v>
      </c>
      <c r="G1159">
        <v>1378.3716438599999</v>
      </c>
      <c r="H1159">
        <v>6372686534.5115404</v>
      </c>
      <c r="I1159">
        <v>6887147000</v>
      </c>
      <c r="J1159">
        <v>-6.8428696427054417E-2</v>
      </c>
      <c r="K1159">
        <v>98982.425748059002</v>
      </c>
      <c r="L1159">
        <v>-7.240779164750176E-2</v>
      </c>
      <c r="M1159">
        <v>106708.987911684</v>
      </c>
      <c r="O1159">
        <v>69.195880384141603</v>
      </c>
      <c r="R1159">
        <v>64382</v>
      </c>
      <c r="S1159">
        <v>4.2897031525418444E-3</v>
      </c>
      <c r="V1159">
        <v>0</v>
      </c>
      <c r="W1159">
        <v>2.4560719999999998</v>
      </c>
      <c r="X1159">
        <v>96.86533</v>
      </c>
      <c r="AI1159">
        <v>1</v>
      </c>
      <c r="AJ1159">
        <v>0.62179464101791382</v>
      </c>
      <c r="AK1159">
        <v>0.93036597967147827</v>
      </c>
      <c r="AM1159">
        <f>VLOOKUP(D1159,[1]Sheet1!$C$1:$D$191,2,FALSE)</f>
        <v>177</v>
      </c>
    </row>
    <row r="1160" spans="1:39" x14ac:dyDescent="0.35">
      <c r="A1160">
        <v>2018</v>
      </c>
      <c r="B1160" t="s">
        <v>181</v>
      </c>
      <c r="C1160">
        <v>178</v>
      </c>
      <c r="D1160" t="s">
        <v>384</v>
      </c>
      <c r="E1160">
        <v>66737.337299999999</v>
      </c>
      <c r="G1160">
        <v>66737.337299999999</v>
      </c>
      <c r="H1160">
        <v>5229501758.0070295</v>
      </c>
      <c r="I1160">
        <v>5530178440.7137604</v>
      </c>
      <c r="J1160">
        <v>4.2672674524963289E-2</v>
      </c>
      <c r="K1160">
        <v>79305.769672996001</v>
      </c>
      <c r="L1160">
        <v>2.0440712917130861E-2</v>
      </c>
      <c r="M1160">
        <v>77717.175205882202</v>
      </c>
      <c r="O1160">
        <v>117.117123372744</v>
      </c>
      <c r="R1160">
        <v>65941</v>
      </c>
      <c r="S1160">
        <v>2.1786627411482143E-2</v>
      </c>
      <c r="V1160">
        <v>0</v>
      </c>
      <c r="W1160">
        <v>0</v>
      </c>
      <c r="X1160">
        <v>0</v>
      </c>
      <c r="AJ1160">
        <v>0.73968303203582764</v>
      </c>
      <c r="AK1160">
        <v>0.9663156270980835</v>
      </c>
      <c r="AM1160">
        <f>VLOOKUP(D1160,[1]Sheet1!$C$1:$D$191,2,FALSE)</f>
        <v>178</v>
      </c>
    </row>
    <row r="1161" spans="1:39" x14ac:dyDescent="0.35">
      <c r="A1161">
        <v>2018</v>
      </c>
      <c r="B1161" t="s">
        <v>182</v>
      </c>
      <c r="C1161">
        <v>179</v>
      </c>
      <c r="D1161" t="s">
        <v>385</v>
      </c>
      <c r="F1161">
        <v>79227.5</v>
      </c>
      <c r="G1161">
        <v>79227.5</v>
      </c>
      <c r="H1161">
        <v>2775895516.4788399</v>
      </c>
      <c r="I1161">
        <v>3188600927.4668798</v>
      </c>
      <c r="J1161">
        <v>2.7637095226743843E-2</v>
      </c>
      <c r="K1161">
        <v>54431.4584195231</v>
      </c>
      <c r="L1161">
        <v>1.1194256885923876E-2</v>
      </c>
      <c r="M1161">
        <v>53828.884063434401</v>
      </c>
      <c r="O1161">
        <v>106.874168106959</v>
      </c>
      <c r="R1161">
        <v>50998</v>
      </c>
      <c r="S1161">
        <v>1.6260810649236779E-2</v>
      </c>
      <c r="V1161">
        <v>0</v>
      </c>
      <c r="W1161">
        <v>0</v>
      </c>
      <c r="X1161">
        <v>0</v>
      </c>
      <c r="AM1161">
        <f>VLOOKUP(D1161,[1]Sheet1!$C$1:$D$191,2,FALSE)</f>
        <v>179</v>
      </c>
    </row>
    <row r="1162" spans="1:39" x14ac:dyDescent="0.35">
      <c r="A1162">
        <v>2019</v>
      </c>
      <c r="B1162" t="s">
        <v>182</v>
      </c>
      <c r="C1162">
        <v>179</v>
      </c>
      <c r="D1162" t="s">
        <v>385</v>
      </c>
      <c r="E1162">
        <v>3083.5709908499998</v>
      </c>
      <c r="F1162">
        <v>4498711.8</v>
      </c>
      <c r="G1162">
        <v>4501795.37099085</v>
      </c>
      <c r="H1162">
        <v>2901879820.0439901</v>
      </c>
      <c r="I1162">
        <v>3266432734.2281899</v>
      </c>
      <c r="J1162">
        <v>4.5385102867617468E-2</v>
      </c>
      <c r="K1162">
        <v>56026.253886359598</v>
      </c>
      <c r="L1162">
        <v>2.9299150034614689E-2</v>
      </c>
      <c r="M1162">
        <v>54431.4584195231</v>
      </c>
      <c r="O1162">
        <v>108.623704975373</v>
      </c>
      <c r="R1162">
        <v>51795</v>
      </c>
      <c r="S1162">
        <v>1.5628063845641006E-2</v>
      </c>
      <c r="V1162">
        <v>0</v>
      </c>
      <c r="W1162">
        <v>0</v>
      </c>
      <c r="X1162">
        <v>0</v>
      </c>
      <c r="AM1162">
        <f>VLOOKUP(D1162,[1]Sheet1!$C$1:$D$191,2,FALSE)</f>
        <v>179</v>
      </c>
    </row>
    <row r="1163" spans="1:39" x14ac:dyDescent="0.35">
      <c r="A1163">
        <v>2020</v>
      </c>
      <c r="B1163" t="s">
        <v>182</v>
      </c>
      <c r="C1163">
        <v>179</v>
      </c>
      <c r="D1163" t="s">
        <v>385</v>
      </c>
      <c r="E1163">
        <v>2409.398948</v>
      </c>
      <c r="F1163">
        <v>229615.845</v>
      </c>
      <c r="G1163">
        <v>232025.24394799999</v>
      </c>
      <c r="H1163">
        <v>2854366727.1273298</v>
      </c>
      <c r="I1163">
        <v>3271813311.5830998</v>
      </c>
      <c r="J1163">
        <v>-1.6373211801700337E-2</v>
      </c>
      <c r="K1163">
        <v>54295.461892056999</v>
      </c>
      <c r="L1163">
        <v>-3.0892516887051507E-2</v>
      </c>
      <c r="M1163">
        <v>56026.253886359598</v>
      </c>
      <c r="O1163">
        <v>96.224193751839607</v>
      </c>
      <c r="R1163">
        <v>52571</v>
      </c>
      <c r="S1163">
        <v>1.4982141133314026E-2</v>
      </c>
      <c r="V1163">
        <v>0</v>
      </c>
      <c r="W1163">
        <v>0</v>
      </c>
      <c r="X1163">
        <v>0</v>
      </c>
      <c r="AM1163">
        <f>VLOOKUP(D1163,[1]Sheet1!$C$1:$D$191,2,FALSE)</f>
        <v>179</v>
      </c>
    </row>
    <row r="1164" spans="1:39" x14ac:dyDescent="0.35">
      <c r="A1164">
        <v>2018</v>
      </c>
      <c r="B1164" t="s">
        <v>183</v>
      </c>
      <c r="C1164">
        <v>180</v>
      </c>
      <c r="D1164" t="s">
        <v>386</v>
      </c>
      <c r="E1164">
        <v>41789.10744</v>
      </c>
      <c r="F1164">
        <v>843325</v>
      </c>
      <c r="G1164">
        <v>885114.10744000005</v>
      </c>
      <c r="H1164">
        <v>5246466346.3603802</v>
      </c>
      <c r="I1164">
        <v>5581425324.91185</v>
      </c>
      <c r="J1164">
        <v>3.8123509704722211E-2</v>
      </c>
      <c r="K1164">
        <v>5720.2145122662796</v>
      </c>
      <c r="L1164">
        <v>3.9910723797729308E-2</v>
      </c>
      <c r="M1164">
        <v>5500.6784537966796</v>
      </c>
      <c r="N1164">
        <v>4.0814763764452602</v>
      </c>
      <c r="O1164">
        <v>103.235419995391</v>
      </c>
      <c r="P1164">
        <v>92.796324782503504</v>
      </c>
      <c r="Q1164">
        <v>28.025586732404999</v>
      </c>
      <c r="R1164">
        <v>917180</v>
      </c>
      <c r="S1164">
        <v>-1.7186226202954202E-3</v>
      </c>
      <c r="U1164">
        <v>5.85</v>
      </c>
      <c r="V1164">
        <v>54.275478999999997</v>
      </c>
      <c r="W1164">
        <v>3.471374</v>
      </c>
      <c r="X1164">
        <v>81.67062</v>
      </c>
      <c r="Y1164">
        <v>58.236400000000003</v>
      </c>
      <c r="Z1164">
        <v>79.146422543855195</v>
      </c>
      <c r="AJ1164">
        <v>0.17670877277851099</v>
      </c>
      <c r="AK1164">
        <v>3.9544772356748581E-2</v>
      </c>
      <c r="AM1164">
        <f>VLOOKUP(D1164,[1]Sheet1!$C$1:$D$191,2,FALSE)</f>
        <v>180</v>
      </c>
    </row>
    <row r="1165" spans="1:39" x14ac:dyDescent="0.35">
      <c r="A1165">
        <v>2019</v>
      </c>
      <c r="B1165" t="s">
        <v>183</v>
      </c>
      <c r="C1165">
        <v>180</v>
      </c>
      <c r="D1165" t="s">
        <v>386</v>
      </c>
      <c r="F1165">
        <v>804950</v>
      </c>
      <c r="G1165">
        <v>804950</v>
      </c>
      <c r="H1165">
        <v>5215934725.8513699</v>
      </c>
      <c r="I1165">
        <v>5444407214.3175802</v>
      </c>
      <c r="J1165">
        <v>-5.8194637101200413E-3</v>
      </c>
      <c r="K1165">
        <v>5701.1044124557702</v>
      </c>
      <c r="L1165">
        <v>-3.3408012530876559E-3</v>
      </c>
      <c r="M1165">
        <v>5720.2145122662796</v>
      </c>
      <c r="N1165">
        <v>1.7731018246028201</v>
      </c>
      <c r="O1165">
        <v>107.411463822998</v>
      </c>
      <c r="P1165">
        <v>102.211132694048</v>
      </c>
      <c r="Q1165">
        <v>26.959878087116799</v>
      </c>
      <c r="R1165">
        <v>914899</v>
      </c>
      <c r="S1165">
        <v>-2.4869709326413572E-3</v>
      </c>
      <c r="U1165">
        <v>5.85</v>
      </c>
      <c r="V1165">
        <v>53.873317</v>
      </c>
      <c r="W1165">
        <v>3.440858</v>
      </c>
      <c r="X1165">
        <v>81.05104</v>
      </c>
      <c r="Y1165">
        <v>63.2179</v>
      </c>
      <c r="Z1165">
        <v>77.556200617002702</v>
      </c>
      <c r="AJ1165">
        <v>0.42247340083122248</v>
      </c>
      <c r="AK1165">
        <v>3.3455677330493927E-2</v>
      </c>
      <c r="AM1165">
        <f>VLOOKUP(D1165,[1]Sheet1!$C$1:$D$191,2,FALSE)</f>
        <v>180</v>
      </c>
    </row>
    <row r="1166" spans="1:39" x14ac:dyDescent="0.35">
      <c r="A1166">
        <v>2020</v>
      </c>
      <c r="B1166" t="s">
        <v>183</v>
      </c>
      <c r="C1166">
        <v>180</v>
      </c>
      <c r="D1166" t="s">
        <v>386</v>
      </c>
      <c r="E1166">
        <v>12820.02</v>
      </c>
      <c r="F1166">
        <v>537625</v>
      </c>
      <c r="G1166">
        <v>550445.02</v>
      </c>
      <c r="H1166">
        <v>4327208949.4668398</v>
      </c>
      <c r="I1166">
        <v>4432466237.0958796</v>
      </c>
      <c r="J1166">
        <v>-0.17038667527409826</v>
      </c>
      <c r="K1166">
        <v>4729.3813514500998</v>
      </c>
      <c r="L1166">
        <v>-0.17044470521933439</v>
      </c>
      <c r="M1166">
        <v>5701.1044124557702</v>
      </c>
      <c r="N1166">
        <v>-2.5952432588738001</v>
      </c>
      <c r="O1166">
        <v>72.343575499688299</v>
      </c>
      <c r="P1166">
        <v>124.043461328956</v>
      </c>
      <c r="Q1166">
        <v>30.503800106960099</v>
      </c>
      <c r="R1166">
        <v>914963</v>
      </c>
      <c r="S1166">
        <v>6.9953076787710995E-5</v>
      </c>
      <c r="U1166">
        <v>5.72</v>
      </c>
      <c r="V1166">
        <v>52.95628</v>
      </c>
      <c r="W1166">
        <v>3.8536009999999998</v>
      </c>
      <c r="X1166">
        <v>79.326930000000004</v>
      </c>
      <c r="Y1166">
        <v>68.625600000000006</v>
      </c>
      <c r="Z1166">
        <v>83.761365449034898</v>
      </c>
      <c r="AI1166">
        <v>1</v>
      </c>
      <c r="AJ1166">
        <v>0.19752390682697299</v>
      </c>
      <c r="AK1166">
        <v>-0.10215103626251219</v>
      </c>
      <c r="AM1166">
        <f>VLOOKUP(D1166,[1]Sheet1!$C$1:$D$191,2,FALSE)</f>
        <v>180</v>
      </c>
    </row>
    <row r="1167" spans="1:39" x14ac:dyDescent="0.35">
      <c r="A1167">
        <v>2018</v>
      </c>
      <c r="B1167" t="s">
        <v>184</v>
      </c>
      <c r="C1167">
        <v>181</v>
      </c>
      <c r="D1167" t="s">
        <v>387</v>
      </c>
      <c r="E1167">
        <v>5717.45</v>
      </c>
      <c r="G1167">
        <v>5717.45</v>
      </c>
      <c r="H1167">
        <v>52302387928.147301</v>
      </c>
      <c r="I1167">
        <v>55190661339.779602</v>
      </c>
      <c r="J1167">
        <v>6.4053653212942596E-2</v>
      </c>
      <c r="K1167">
        <v>79378.339547954602</v>
      </c>
      <c r="L1167">
        <v>4.7097266266917938E-2</v>
      </c>
      <c r="M1167">
        <v>75807.990437175002</v>
      </c>
      <c r="N1167">
        <v>3.0044629316693801</v>
      </c>
      <c r="O1167">
        <v>115.865480655493</v>
      </c>
      <c r="P1167">
        <v>113.62241659877</v>
      </c>
      <c r="Q1167">
        <v>14.573834688306199</v>
      </c>
      <c r="R1167">
        <v>658900</v>
      </c>
      <c r="S1167">
        <v>1.6193707587908699E-2</v>
      </c>
      <c r="V1167">
        <v>324.17228999999998</v>
      </c>
      <c r="W1167">
        <v>1.450769</v>
      </c>
      <c r="X1167">
        <v>73.506979999999999</v>
      </c>
      <c r="Y1167">
        <v>83.7941</v>
      </c>
      <c r="Z1167">
        <v>76.793503480278403</v>
      </c>
      <c r="AJ1167">
        <v>0.97135567665100098</v>
      </c>
      <c r="AK1167">
        <v>1.6064243316650391</v>
      </c>
      <c r="AM1167">
        <f>VLOOKUP(D1167,[1]Sheet1!$C$1:$D$191,2,FALSE)</f>
        <v>181</v>
      </c>
    </row>
    <row r="1168" spans="1:39" x14ac:dyDescent="0.35">
      <c r="A1168">
        <v>2020</v>
      </c>
      <c r="B1168" t="s">
        <v>184</v>
      </c>
      <c r="C1168">
        <v>181</v>
      </c>
      <c r="D1168" t="s">
        <v>387</v>
      </c>
      <c r="E1168">
        <v>12768.409900000001</v>
      </c>
      <c r="G1168">
        <v>12768.409900000001</v>
      </c>
      <c r="H1168">
        <v>23271041384.453098</v>
      </c>
      <c r="I1168">
        <v>25343525935.8358</v>
      </c>
      <c r="J1168">
        <v>-0.54336154602236997</v>
      </c>
      <c r="K1168">
        <v>33952.496913412702</v>
      </c>
      <c r="L1168">
        <v>-0.55228911427930083</v>
      </c>
      <c r="M1168">
        <v>75835.763650816603</v>
      </c>
      <c r="N1168">
        <v>0.811410511491651</v>
      </c>
      <c r="O1168">
        <v>121.50036301495</v>
      </c>
      <c r="P1168">
        <v>269.161635493478</v>
      </c>
      <c r="Q1168">
        <v>43.100938207970501</v>
      </c>
      <c r="R1168">
        <v>685400</v>
      </c>
      <c r="S1168">
        <v>1.9940476190476189E-2</v>
      </c>
      <c r="V1168">
        <v>321.32601</v>
      </c>
      <c r="W1168">
        <v>1.2429159999999999</v>
      </c>
      <c r="X1168">
        <v>73.670810000000003</v>
      </c>
      <c r="Y1168">
        <v>87.462299999999999</v>
      </c>
      <c r="Z1168">
        <v>86.795673076923094</v>
      </c>
      <c r="AJ1168">
        <v>0.8114808201789856</v>
      </c>
      <c r="AK1168">
        <v>1.7372134923934941</v>
      </c>
      <c r="AM1168">
        <f>VLOOKUP(D1168,[1]Sheet1!$C$1:$D$191,2,FALSE)</f>
        <v>181</v>
      </c>
    </row>
    <row r="1169" spans="1:39" x14ac:dyDescent="0.35">
      <c r="A1169">
        <v>2018</v>
      </c>
      <c r="B1169" t="s">
        <v>185</v>
      </c>
      <c r="C1169">
        <v>182</v>
      </c>
      <c r="D1169" t="s">
        <v>388</v>
      </c>
      <c r="E1169">
        <v>5411.91</v>
      </c>
      <c r="G1169">
        <v>5411.91</v>
      </c>
      <c r="I1169">
        <v>9896402283.6858692</v>
      </c>
      <c r="R1169">
        <v>283541</v>
      </c>
      <c r="S1169">
        <v>-1.7633823083379769E-5</v>
      </c>
      <c r="V1169">
        <v>0</v>
      </c>
      <c r="W1169">
        <v>0</v>
      </c>
      <c r="X1169">
        <v>0</v>
      </c>
      <c r="AM1169">
        <f>VLOOKUP(D1169,[1]Sheet1!$C$1:$D$191,2,FALSE)</f>
        <v>182</v>
      </c>
    </row>
    <row r="1170" spans="1:39" x14ac:dyDescent="0.35">
      <c r="A1170">
        <v>2020</v>
      </c>
      <c r="B1170" t="s">
        <v>185</v>
      </c>
      <c r="C1170">
        <v>182</v>
      </c>
      <c r="D1170" t="s">
        <v>388</v>
      </c>
      <c r="E1170">
        <v>2798.9700750000002</v>
      </c>
      <c r="G1170">
        <v>2798.9700750000002</v>
      </c>
      <c r="I1170">
        <v>9454629467.9140797</v>
      </c>
      <c r="R1170">
        <v>284176</v>
      </c>
      <c r="S1170">
        <v>2.0098305395513496E-3</v>
      </c>
      <c r="V1170">
        <v>0</v>
      </c>
      <c r="W1170">
        <v>0</v>
      </c>
      <c r="X1170">
        <v>0</v>
      </c>
      <c r="AM1170">
        <f>VLOOKUP(D1170,[1]Sheet1!$C$1:$D$191,2,FALSE)</f>
        <v>182</v>
      </c>
    </row>
    <row r="1171" spans="1:39" x14ac:dyDescent="0.35">
      <c r="A1171">
        <v>2018</v>
      </c>
      <c r="B1171" t="s">
        <v>186</v>
      </c>
      <c r="C1171">
        <v>183</v>
      </c>
      <c r="D1171" t="s">
        <v>389</v>
      </c>
      <c r="E1171">
        <v>735</v>
      </c>
      <c r="G1171">
        <v>735</v>
      </c>
      <c r="H1171">
        <v>1165903030.30303</v>
      </c>
      <c r="I1171">
        <v>1301000000</v>
      </c>
      <c r="J1171">
        <v>-0.19497334348819631</v>
      </c>
      <c r="K1171">
        <v>23756.607582024801</v>
      </c>
      <c r="L1171">
        <v>-0.18050559869850838</v>
      </c>
      <c r="M1171">
        <v>28989.347022133901</v>
      </c>
      <c r="O1171">
        <v>108.762490392006</v>
      </c>
      <c r="R1171">
        <v>49077</v>
      </c>
      <c r="S1171">
        <v>-1.7654476670870115E-2</v>
      </c>
      <c r="AM1171">
        <f>VLOOKUP(D1171,[1]Sheet1!$C$1:$D$191,2,FALSE)</f>
        <v>183</v>
      </c>
    </row>
    <row r="1172" spans="1:39" x14ac:dyDescent="0.35">
      <c r="A1172">
        <v>2018</v>
      </c>
      <c r="B1172" t="s">
        <v>187</v>
      </c>
      <c r="C1172">
        <v>184</v>
      </c>
      <c r="D1172" t="s">
        <v>390</v>
      </c>
      <c r="E1172">
        <v>3819.26</v>
      </c>
      <c r="F1172">
        <v>22825</v>
      </c>
      <c r="G1172">
        <v>26644.260000000002</v>
      </c>
      <c r="H1172">
        <v>23659695751.332699</v>
      </c>
      <c r="I1172">
        <v>24109780708.026798</v>
      </c>
      <c r="J1172">
        <v>-2.79252284959783E-3</v>
      </c>
      <c r="K1172">
        <v>2518.4589931732098</v>
      </c>
      <c r="L1172">
        <v>-2.5699125497503767E-2</v>
      </c>
      <c r="M1172">
        <v>2584.8883636270998</v>
      </c>
      <c r="N1172">
        <v>4.3744892145316197</v>
      </c>
      <c r="P1172">
        <v>18.743213416683801</v>
      </c>
      <c r="Q1172">
        <v>18.309911290552499</v>
      </c>
      <c r="R1172">
        <v>9394513</v>
      </c>
      <c r="S1172">
        <v>2.3510809902127901E-2</v>
      </c>
      <c r="U1172">
        <v>6.03</v>
      </c>
      <c r="V1172">
        <v>8.1826409000000009</v>
      </c>
      <c r="W1172">
        <v>0</v>
      </c>
      <c r="X1172">
        <v>0</v>
      </c>
      <c r="AJ1172">
        <v>-0.76483404636383057</v>
      </c>
      <c r="AK1172">
        <v>-0.5286405086517334</v>
      </c>
      <c r="AL1172">
        <v>2.6306599999999999E-2</v>
      </c>
      <c r="AM1172">
        <f>VLOOKUP(D1172,[1]Sheet1!$C$1:$D$191,2,FALSE)</f>
        <v>184</v>
      </c>
    </row>
    <row r="1173" spans="1:39" x14ac:dyDescent="0.35">
      <c r="A1173">
        <v>2019</v>
      </c>
      <c r="B1173" t="s">
        <v>187</v>
      </c>
      <c r="C1173">
        <v>184</v>
      </c>
      <c r="D1173" t="s">
        <v>390</v>
      </c>
      <c r="F1173">
        <v>114800</v>
      </c>
      <c r="G1173">
        <v>114800</v>
      </c>
      <c r="H1173">
        <v>24719771866.935001</v>
      </c>
      <c r="I1173">
        <v>24750626040.591702</v>
      </c>
      <c r="J1173">
        <v>4.4805145710404615E-2</v>
      </c>
      <c r="K1173">
        <v>2572.5617797187201</v>
      </c>
      <c r="L1173">
        <v>2.1482496515594175E-2</v>
      </c>
      <c r="M1173">
        <v>2518.4589931732098</v>
      </c>
      <c r="N1173">
        <v>3.9286729093959698</v>
      </c>
      <c r="P1173">
        <v>18.054669410118699</v>
      </c>
      <c r="Q1173">
        <v>19.143206934700199</v>
      </c>
      <c r="R1173">
        <v>9609010</v>
      </c>
      <c r="S1173">
        <v>2.2832157451908364E-2</v>
      </c>
      <c r="U1173">
        <v>6.03</v>
      </c>
      <c r="V1173">
        <v>8.3188680000000002</v>
      </c>
      <c r="W1173">
        <v>0</v>
      </c>
      <c r="X1173">
        <v>0</v>
      </c>
      <c r="Y1173">
        <v>19.978300000000001</v>
      </c>
      <c r="AJ1173">
        <v>-0.79995483160018921</v>
      </c>
      <c r="AK1173">
        <v>-0.54322975873947144</v>
      </c>
      <c r="AL1173">
        <v>4.029195E-2</v>
      </c>
      <c r="AM1173">
        <f>VLOOKUP(D1173,[1]Sheet1!$C$1:$D$191,2,FALSE)</f>
        <v>184</v>
      </c>
    </row>
    <row r="1174" spans="1:39" x14ac:dyDescent="0.35">
      <c r="A1174">
        <v>2020</v>
      </c>
      <c r="B1174" t="s">
        <v>187</v>
      </c>
      <c r="C1174">
        <v>184</v>
      </c>
      <c r="D1174" t="s">
        <v>390</v>
      </c>
      <c r="E1174">
        <v>20.256150182500001</v>
      </c>
      <c r="F1174">
        <v>107150</v>
      </c>
      <c r="G1174">
        <v>107170.2561501825</v>
      </c>
      <c r="H1174">
        <v>23936789892.390099</v>
      </c>
      <c r="I1174">
        <v>23848447849.7467</v>
      </c>
      <c r="J1174">
        <v>-3.1674320408766159E-2</v>
      </c>
      <c r="K1174">
        <v>2438.6113793480499</v>
      </c>
      <c r="L1174">
        <v>-5.2068876023384024E-2</v>
      </c>
      <c r="M1174">
        <v>2572.5617797187201</v>
      </c>
      <c r="N1174">
        <v>4.8716739856555504</v>
      </c>
      <c r="P1174">
        <v>18.814981250507898</v>
      </c>
      <c r="Q1174">
        <v>20.8959129574576</v>
      </c>
      <c r="R1174">
        <v>9815746</v>
      </c>
      <c r="S1174">
        <v>2.1514807456751529E-2</v>
      </c>
      <c r="U1174">
        <v>6.1</v>
      </c>
      <c r="V1174">
        <v>8.1516531000000008</v>
      </c>
      <c r="W1174">
        <v>0</v>
      </c>
      <c r="X1174">
        <v>0</v>
      </c>
      <c r="Y1174">
        <v>24.396899999999999</v>
      </c>
      <c r="AJ1174">
        <v>-0.70991843938827515</v>
      </c>
      <c r="AK1174">
        <v>-0.68394744396209717</v>
      </c>
      <c r="AL1174">
        <v>2.9051975000000001E-2</v>
      </c>
      <c r="AM1174">
        <f>VLOOKUP(D1174,[1]Sheet1!$C$1:$D$191,2,FALSE)</f>
        <v>184</v>
      </c>
    </row>
    <row r="1175" spans="1:39" x14ac:dyDescent="0.35">
      <c r="A1175">
        <v>2018</v>
      </c>
      <c r="B1175" t="s">
        <v>188</v>
      </c>
      <c r="C1175">
        <v>185</v>
      </c>
      <c r="D1175" t="s">
        <v>391</v>
      </c>
      <c r="F1175">
        <v>1753800</v>
      </c>
      <c r="G1175">
        <v>1753800</v>
      </c>
      <c r="H1175">
        <v>896962897.99083996</v>
      </c>
      <c r="I1175">
        <v>878448433.40434206</v>
      </c>
      <c r="J1175">
        <v>-6.0964710338014209E-3</v>
      </c>
      <c r="K1175">
        <v>4321.0051834496198</v>
      </c>
      <c r="L1175">
        <v>-1.647207656448367E-2</v>
      </c>
      <c r="M1175">
        <v>4393.3731625596502</v>
      </c>
      <c r="N1175">
        <v>4.19745888663752</v>
      </c>
      <c r="O1175">
        <v>78.934968429515095</v>
      </c>
      <c r="P1175">
        <v>81.549092895818106</v>
      </c>
      <c r="Q1175">
        <v>25.9535521446765</v>
      </c>
      <c r="R1175">
        <v>207582</v>
      </c>
      <c r="S1175">
        <v>1.0549375654163523E-2</v>
      </c>
      <c r="V1175">
        <v>53.732329999999997</v>
      </c>
      <c r="W1175">
        <v>0</v>
      </c>
      <c r="X1175">
        <v>0</v>
      </c>
      <c r="Y1175">
        <v>43.133600000000001</v>
      </c>
      <c r="Z1175">
        <v>14.1633542972529</v>
      </c>
      <c r="AJ1175">
        <v>0.91258561611175537</v>
      </c>
      <c r="AK1175">
        <v>-0.14131626486778259</v>
      </c>
      <c r="AM1175">
        <f>VLOOKUP(D1175,[1]Sheet1!$C$1:$D$191,2,FALSE)</f>
        <v>185</v>
      </c>
    </row>
    <row r="1176" spans="1:39" x14ac:dyDescent="0.35">
      <c r="A1176">
        <v>2019</v>
      </c>
      <c r="B1176" t="s">
        <v>188</v>
      </c>
      <c r="C1176">
        <v>185</v>
      </c>
      <c r="D1176" t="s">
        <v>391</v>
      </c>
      <c r="E1176">
        <v>7112</v>
      </c>
      <c r="F1176">
        <v>1887300</v>
      </c>
      <c r="G1176">
        <v>1894412</v>
      </c>
      <c r="H1176">
        <v>936894420.74621201</v>
      </c>
      <c r="I1176">
        <v>912950466.064906</v>
      </c>
      <c r="J1176">
        <v>4.4518589168868652E-2</v>
      </c>
      <c r="K1176">
        <v>4466.0807548203502</v>
      </c>
      <c r="L1176">
        <v>3.3574496028470652E-2</v>
      </c>
      <c r="M1176">
        <v>4321.0051834496198</v>
      </c>
      <c r="N1176">
        <v>0.98232656988811695</v>
      </c>
      <c r="O1176">
        <v>83.331079581645696</v>
      </c>
      <c r="P1176">
        <v>83.255220433650805</v>
      </c>
      <c r="Q1176">
        <v>26.933288659343699</v>
      </c>
      <c r="R1176">
        <v>209780</v>
      </c>
      <c r="S1176">
        <v>1.0588586678999142E-2</v>
      </c>
      <c r="V1176">
        <v>53.892508999999997</v>
      </c>
      <c r="W1176">
        <v>0</v>
      </c>
      <c r="X1176">
        <v>0</v>
      </c>
      <c r="Y1176">
        <v>47.2211</v>
      </c>
      <c r="Z1176">
        <v>13.5792119039657</v>
      </c>
      <c r="AJ1176">
        <v>1.162744402885437</v>
      </c>
      <c r="AK1176">
        <v>-0.26060926914215088</v>
      </c>
      <c r="AM1176">
        <f>VLOOKUP(D1176,[1]Sheet1!$C$1:$D$191,2,FALSE)</f>
        <v>185</v>
      </c>
    </row>
    <row r="1177" spans="1:39" x14ac:dyDescent="0.35">
      <c r="A1177">
        <v>2020</v>
      </c>
      <c r="B1177" t="s">
        <v>188</v>
      </c>
      <c r="C1177">
        <v>185</v>
      </c>
      <c r="D1177" t="s">
        <v>391</v>
      </c>
      <c r="F1177">
        <v>1156375</v>
      </c>
      <c r="G1177">
        <v>1156375</v>
      </c>
      <c r="H1177">
        <v>907771582.23952401</v>
      </c>
      <c r="I1177">
        <v>868898358.26643705</v>
      </c>
      <c r="J1177">
        <v>-3.1084440105313485E-2</v>
      </c>
      <c r="K1177">
        <v>4283.0728033797805</v>
      </c>
      <c r="L1177">
        <v>-4.0977304595991637E-2</v>
      </c>
      <c r="M1177">
        <v>4466.0807548203502</v>
      </c>
      <c r="N1177">
        <v>-1.56891247740895</v>
      </c>
      <c r="O1177">
        <v>77.483599995819304</v>
      </c>
      <c r="P1177">
        <v>87.010395155047902</v>
      </c>
      <c r="Q1177">
        <v>29.800833192021301</v>
      </c>
      <c r="R1177">
        <v>211944</v>
      </c>
      <c r="S1177">
        <v>1.0315568691009629E-2</v>
      </c>
      <c r="V1177">
        <v>59.388142000000002</v>
      </c>
      <c r="W1177">
        <v>0</v>
      </c>
      <c r="X1177">
        <v>0</v>
      </c>
      <c r="Y1177">
        <v>51.695900000000002</v>
      </c>
      <c r="Z1177">
        <v>17.330345464317698</v>
      </c>
      <c r="AJ1177">
        <v>1.0113693475723271</v>
      </c>
      <c r="AK1177">
        <v>-0.2085904777050018</v>
      </c>
      <c r="AM1177">
        <f>VLOOKUP(D1177,[1]Sheet1!$C$1:$D$191,2,FALSE)</f>
        <v>185</v>
      </c>
    </row>
    <row r="1178" spans="1:39" x14ac:dyDescent="0.35">
      <c r="A1178">
        <v>2018</v>
      </c>
      <c r="B1178" t="s">
        <v>189</v>
      </c>
      <c r="C1178">
        <v>186</v>
      </c>
      <c r="D1178" t="s">
        <v>392</v>
      </c>
      <c r="F1178">
        <v>332200</v>
      </c>
      <c r="G1178">
        <v>332200</v>
      </c>
      <c r="H1178">
        <v>1462093823.20911</v>
      </c>
      <c r="I1178">
        <v>1615478393.28614</v>
      </c>
      <c r="J1178">
        <v>2.7459954233407823E-2</v>
      </c>
      <c r="K1178">
        <v>2061.8978441845602</v>
      </c>
      <c r="L1178">
        <v>-6.4877616317952228E-3</v>
      </c>
      <c r="M1178">
        <v>2075.3623000871398</v>
      </c>
      <c r="N1178">
        <v>3.4614748497372898</v>
      </c>
      <c r="O1178">
        <v>88.494679733169406</v>
      </c>
      <c r="P1178">
        <v>30.696967942959901</v>
      </c>
      <c r="Q1178">
        <v>27.5769567192301</v>
      </c>
      <c r="R1178">
        <v>709101</v>
      </c>
      <c r="S1178">
        <v>3.4169398779591409E-2</v>
      </c>
      <c r="V1178">
        <v>14.353968999999999</v>
      </c>
      <c r="W1178">
        <v>0</v>
      </c>
      <c r="X1178">
        <v>0</v>
      </c>
      <c r="Y1178">
        <v>20.9</v>
      </c>
      <c r="AJ1178">
        <v>-0.202022984623909</v>
      </c>
      <c r="AK1178">
        <v>-0.84776216745376587</v>
      </c>
      <c r="AM1178">
        <f>VLOOKUP(D1178,[1]Sheet1!$C$1:$D$191,2,FALSE)</f>
        <v>186</v>
      </c>
    </row>
    <row r="1179" spans="1:39" x14ac:dyDescent="0.35">
      <c r="A1179">
        <v>2019</v>
      </c>
      <c r="B1179" t="s">
        <v>189</v>
      </c>
      <c r="C1179">
        <v>186</v>
      </c>
      <c r="D1179" t="s">
        <v>392</v>
      </c>
      <c r="F1179">
        <v>659025</v>
      </c>
      <c r="G1179">
        <v>659025</v>
      </c>
      <c r="H1179">
        <v>1487659506.79743</v>
      </c>
      <c r="I1179">
        <v>1619155017.3924</v>
      </c>
      <c r="J1179">
        <v>1.7485665545188198E-2</v>
      </c>
      <c r="K1179">
        <v>2043.0757893631701</v>
      </c>
      <c r="L1179">
        <v>-9.1285098699125222E-3</v>
      </c>
      <c r="M1179">
        <v>2061.8978441845602</v>
      </c>
      <c r="N1179">
        <v>1.63485544012247</v>
      </c>
      <c r="O1179">
        <v>82.998337615233496</v>
      </c>
      <c r="P1179">
        <v>30.7379843863533</v>
      </c>
      <c r="Q1179">
        <v>28.984637762457499</v>
      </c>
      <c r="R1179">
        <v>728147</v>
      </c>
      <c r="S1179">
        <v>2.6859361360370385E-2</v>
      </c>
      <c r="V1179">
        <v>14.463335000000001</v>
      </c>
      <c r="W1179">
        <v>0</v>
      </c>
      <c r="X1179">
        <v>0</v>
      </c>
      <c r="Y1179">
        <v>26.340599999999998</v>
      </c>
      <c r="AJ1179">
        <v>-0.10896517336368559</v>
      </c>
      <c r="AK1179">
        <v>-0.83566534519195557</v>
      </c>
      <c r="AM1179">
        <f>VLOOKUP(D1179,[1]Sheet1!$C$1:$D$191,2,FALSE)</f>
        <v>186</v>
      </c>
    </row>
    <row r="1180" spans="1:39" x14ac:dyDescent="0.35">
      <c r="A1180">
        <v>2020</v>
      </c>
      <c r="B1180" t="s">
        <v>189</v>
      </c>
      <c r="C1180">
        <v>186</v>
      </c>
      <c r="D1180" t="s">
        <v>392</v>
      </c>
      <c r="F1180">
        <v>409850</v>
      </c>
      <c r="G1180">
        <v>409850</v>
      </c>
      <c r="H1180">
        <v>1437359543.9651401</v>
      </c>
      <c r="I1180">
        <v>1536145814.1700699</v>
      </c>
      <c r="J1180">
        <v>-3.3811475409835916E-2</v>
      </c>
      <c r="K1180">
        <v>1930.6425859641499</v>
      </c>
      <c r="L1180">
        <v>-5.5031342441812091E-2</v>
      </c>
      <c r="M1180">
        <v>2043.0757893631701</v>
      </c>
      <c r="N1180">
        <v>2.9635499207606499</v>
      </c>
      <c r="O1180">
        <v>60.220337639692502</v>
      </c>
      <c r="P1180">
        <v>32.5670792095585</v>
      </c>
      <c r="Q1180">
        <v>31.913143595090801</v>
      </c>
      <c r="R1180">
        <v>744498</v>
      </c>
      <c r="S1180">
        <v>2.2455630525154948E-2</v>
      </c>
      <c r="V1180">
        <v>15.051466</v>
      </c>
      <c r="W1180">
        <v>0</v>
      </c>
      <c r="X1180">
        <v>0</v>
      </c>
      <c r="Y1180">
        <v>33.197400000000002</v>
      </c>
      <c r="AJ1180">
        <v>-3.6500826478004463E-2</v>
      </c>
      <c r="AK1180">
        <v>-0.83264654874801636</v>
      </c>
      <c r="AM1180">
        <f>VLOOKUP(D1180,[1]Sheet1!$C$1:$D$191,2,FALSE)</f>
        <v>186</v>
      </c>
    </row>
    <row r="1181" spans="1:39" x14ac:dyDescent="0.35">
      <c r="A1181">
        <v>2018</v>
      </c>
      <c r="B1181" t="s">
        <v>190</v>
      </c>
      <c r="C1181">
        <v>187</v>
      </c>
      <c r="D1181" t="s">
        <v>393</v>
      </c>
      <c r="E1181">
        <v>836</v>
      </c>
      <c r="F1181">
        <v>679300</v>
      </c>
      <c r="G1181">
        <v>680136</v>
      </c>
      <c r="H1181">
        <v>484641423.61571902</v>
      </c>
      <c r="I1181">
        <v>489714518.00233299</v>
      </c>
      <c r="J1181">
        <v>6.8755058264453476E-3</v>
      </c>
      <c r="K1181">
        <v>4590.8420587467599</v>
      </c>
      <c r="L1181">
        <v>4.863032878181052E-3</v>
      </c>
      <c r="M1181">
        <v>4568.6246866873298</v>
      </c>
      <c r="N1181">
        <v>5.0320969198487404</v>
      </c>
      <c r="O1181">
        <v>87.450311400338705</v>
      </c>
      <c r="P1181">
        <v>39.606614711752499</v>
      </c>
      <c r="Q1181">
        <v>31.319542952164301</v>
      </c>
      <c r="R1181">
        <v>105567</v>
      </c>
      <c r="S1181">
        <v>2.0027335889745246E-3</v>
      </c>
      <c r="T1181">
        <v>50.058999999999997</v>
      </c>
      <c r="V1181">
        <v>40.510128000000002</v>
      </c>
      <c r="W1181">
        <v>0</v>
      </c>
      <c r="X1181">
        <v>0</v>
      </c>
      <c r="AJ1181">
        <v>0.42598003149032593</v>
      </c>
      <c r="AK1181">
        <v>-0.36275571584701538</v>
      </c>
      <c r="AM1181">
        <f>VLOOKUP(D1181,[1]Sheet1!$C$1:$D$191,2,FALSE)</f>
        <v>187</v>
      </c>
    </row>
    <row r="1182" spans="1:39" x14ac:dyDescent="0.35">
      <c r="A1182">
        <v>2019</v>
      </c>
      <c r="B1182" t="s">
        <v>190</v>
      </c>
      <c r="C1182">
        <v>187</v>
      </c>
      <c r="D1182" t="s">
        <v>393</v>
      </c>
      <c r="F1182">
        <v>849900</v>
      </c>
      <c r="G1182">
        <v>849900</v>
      </c>
      <c r="H1182">
        <v>483631249.20826697</v>
      </c>
      <c r="I1182">
        <v>494197841.11307698</v>
      </c>
      <c r="J1182">
        <v>-2.0843748764097238E-3</v>
      </c>
      <c r="K1182">
        <v>4576.8508191453202</v>
      </c>
      <c r="L1182">
        <v>-3.047641243676139E-3</v>
      </c>
      <c r="M1182">
        <v>4590.8420587467599</v>
      </c>
      <c r="N1182">
        <v>1.1795433482180799</v>
      </c>
      <c r="O1182">
        <v>90.314776776171897</v>
      </c>
      <c r="P1182">
        <v>39.125271240422698</v>
      </c>
      <c r="Q1182">
        <v>31.371143278209701</v>
      </c>
      <c r="R1182">
        <v>105669</v>
      </c>
      <c r="S1182">
        <v>9.6621103185654607E-4</v>
      </c>
      <c r="V1182">
        <v>0</v>
      </c>
      <c r="W1182">
        <v>0</v>
      </c>
      <c r="X1182">
        <v>0</v>
      </c>
      <c r="AJ1182">
        <v>0.49822136759758001</v>
      </c>
      <c r="AK1182">
        <v>-0.31907889246940607</v>
      </c>
      <c r="AM1182">
        <f>VLOOKUP(D1182,[1]Sheet1!$C$1:$D$191,2,FALSE)</f>
        <v>187</v>
      </c>
    </row>
    <row r="1183" spans="1:39" x14ac:dyDescent="0.35">
      <c r="A1183">
        <v>2020</v>
      </c>
      <c r="B1183" t="s">
        <v>190</v>
      </c>
      <c r="C1183">
        <v>187</v>
      </c>
      <c r="D1183" t="s">
        <v>393</v>
      </c>
      <c r="F1183">
        <v>816150</v>
      </c>
      <c r="G1183">
        <v>816150</v>
      </c>
      <c r="H1183">
        <v>492256304.38456702</v>
      </c>
      <c r="I1183">
        <v>496856295.76752001</v>
      </c>
      <c r="J1183">
        <v>1.7833949295914555E-2</v>
      </c>
      <c r="K1183">
        <v>4656.9316618535504</v>
      </c>
      <c r="L1183">
        <v>1.7496930940647189E-2</v>
      </c>
      <c r="M1183">
        <v>4576.8508191453202</v>
      </c>
      <c r="N1183">
        <v>-0.34973769672749599</v>
      </c>
      <c r="O1183">
        <v>83.457991169578605</v>
      </c>
      <c r="P1183">
        <v>38.562071372530703</v>
      </c>
      <c r="Q1183">
        <v>32.106312093391601</v>
      </c>
      <c r="R1183">
        <v>105704</v>
      </c>
      <c r="S1183">
        <v>3.312229698397827E-4</v>
      </c>
      <c r="V1183">
        <v>0</v>
      </c>
      <c r="W1183">
        <v>0</v>
      </c>
      <c r="X1183">
        <v>0</v>
      </c>
      <c r="Z1183">
        <v>21.278298650811799</v>
      </c>
      <c r="AJ1183">
        <v>0.49449500441551208</v>
      </c>
      <c r="AK1183">
        <v>-0.38040509819984442</v>
      </c>
      <c r="AM1183">
        <f>VLOOKUP(D1183,[1]Sheet1!$C$1:$D$191,2,FALSE)</f>
        <v>187</v>
      </c>
    </row>
    <row r="1184" spans="1:39" x14ac:dyDescent="0.35">
      <c r="A1184">
        <v>2019</v>
      </c>
      <c r="B1184" t="s">
        <v>191</v>
      </c>
      <c r="C1184">
        <v>188</v>
      </c>
      <c r="D1184" t="s">
        <v>394</v>
      </c>
      <c r="F1184">
        <v>9442239.1210500002</v>
      </c>
      <c r="G1184">
        <v>9442239.1210500002</v>
      </c>
      <c r="H1184">
        <v>7985161928.9365902</v>
      </c>
      <c r="I1184">
        <v>7314967866.2828903</v>
      </c>
      <c r="J1184">
        <v>2.548787861176858E-3</v>
      </c>
      <c r="K1184">
        <v>95110.138867951304</v>
      </c>
      <c r="L1184">
        <v>7.3372281889437811E-4</v>
      </c>
      <c r="M1184">
        <v>95040.405553679593</v>
      </c>
      <c r="R1184">
        <v>83957</v>
      </c>
      <c r="S1184">
        <v>1.8137342640653898E-3</v>
      </c>
      <c r="V1184">
        <v>0</v>
      </c>
      <c r="W1184">
        <v>0</v>
      </c>
      <c r="X1184">
        <v>0</v>
      </c>
      <c r="AI1184">
        <v>1</v>
      </c>
      <c r="AM1184">
        <f>VLOOKUP(D1184,[1]Sheet1!$C$1:$D$191,2,FALSE)</f>
        <v>188</v>
      </c>
    </row>
    <row r="1185" spans="1:39" x14ac:dyDescent="0.35">
      <c r="A1185">
        <v>2020</v>
      </c>
      <c r="B1185" t="s">
        <v>191</v>
      </c>
      <c r="C1185">
        <v>188</v>
      </c>
      <c r="D1185" t="s">
        <v>394</v>
      </c>
      <c r="F1185">
        <v>4937087.0312449997</v>
      </c>
      <c r="G1185">
        <v>4937087.0312449997</v>
      </c>
      <c r="H1185">
        <v>7279527750.17696</v>
      </c>
      <c r="I1185">
        <v>6684225641.0256395</v>
      </c>
      <c r="J1185">
        <v>-8.8368174000649446E-2</v>
      </c>
      <c r="K1185">
        <v>86595.067450715695</v>
      </c>
      <c r="L1185">
        <v>-8.9528535218077382E-2</v>
      </c>
      <c r="M1185">
        <v>95110.138867951304</v>
      </c>
      <c r="R1185">
        <v>84064</v>
      </c>
      <c r="S1185">
        <v>1.27446192693879E-3</v>
      </c>
      <c r="V1185">
        <v>0</v>
      </c>
      <c r="W1185">
        <v>0</v>
      </c>
      <c r="X1185">
        <v>0</v>
      </c>
      <c r="AI1185">
        <v>1</v>
      </c>
      <c r="AM1185">
        <f>VLOOKUP(D1185,[1]Sheet1!$C$1:$D$191,2,FALSE)</f>
        <v>188</v>
      </c>
    </row>
    <row r="1186" spans="1:39" x14ac:dyDescent="0.35">
      <c r="A1186">
        <v>2020</v>
      </c>
      <c r="B1186" t="s">
        <v>192</v>
      </c>
      <c r="C1186">
        <v>189</v>
      </c>
      <c r="D1186" t="s">
        <v>395</v>
      </c>
      <c r="E1186">
        <v>639.5</v>
      </c>
      <c r="G1186">
        <v>639.5</v>
      </c>
      <c r="H1186">
        <v>978809798.80448794</v>
      </c>
      <c r="I1186">
        <v>1043411111.11111</v>
      </c>
      <c r="J1186">
        <v>-0.1375662225721056</v>
      </c>
      <c r="K1186">
        <v>8413.2833550037194</v>
      </c>
      <c r="L1186">
        <v>-0.14023489621144294</v>
      </c>
      <c r="M1186">
        <v>9785.5604024059194</v>
      </c>
      <c r="N1186">
        <v>-0.74073259704549799</v>
      </c>
      <c r="P1186">
        <v>59.397169540076902</v>
      </c>
      <c r="R1186">
        <v>116341</v>
      </c>
      <c r="S1186">
        <v>3.1039566825600746E-3</v>
      </c>
      <c r="T1186">
        <v>43.250999999999998</v>
      </c>
      <c r="V1186">
        <v>41.974674999999998</v>
      </c>
      <c r="W1186">
        <v>0</v>
      </c>
      <c r="X1186">
        <v>0</v>
      </c>
      <c r="Y1186">
        <v>67.363699999999994</v>
      </c>
      <c r="AJ1186">
        <v>0.32769039273262018</v>
      </c>
      <c r="AK1186">
        <v>-0.12224623560905459</v>
      </c>
      <c r="AM1186">
        <f>VLOOKUP(D1186,[1]Sheet1!$C$1:$D$191,2,FALSE)</f>
        <v>189</v>
      </c>
    </row>
    <row r="1187" spans="1:39" x14ac:dyDescent="0.35">
      <c r="A1187">
        <v>2020</v>
      </c>
      <c r="B1187" t="s">
        <v>193</v>
      </c>
      <c r="C1187">
        <v>190</v>
      </c>
      <c r="D1187" t="s">
        <v>396</v>
      </c>
      <c r="E1187">
        <v>4.7302446744000006</v>
      </c>
      <c r="G1187">
        <v>4.7302446744000006</v>
      </c>
      <c r="H1187">
        <v>3685591962.0546298</v>
      </c>
      <c r="I1187">
        <v>3712604583.3666501</v>
      </c>
      <c r="J1187">
        <v>-0.32908828775292059</v>
      </c>
      <c r="K1187">
        <v>7340.0912973735803</v>
      </c>
      <c r="L1187">
        <v>-0.34831167110922318</v>
      </c>
      <c r="M1187">
        <v>11263.1928054734</v>
      </c>
      <c r="N1187">
        <v>-1.3697742556981101</v>
      </c>
      <c r="O1187">
        <v>114.361902844174</v>
      </c>
      <c r="P1187">
        <v>53.355162691233502</v>
      </c>
      <c r="Q1187">
        <v>35.346128014475099</v>
      </c>
      <c r="R1187">
        <v>502118</v>
      </c>
      <c r="S1187">
        <v>2.9497817444451964E-2</v>
      </c>
      <c r="V1187">
        <v>37.966208000000002</v>
      </c>
      <c r="W1187">
        <v>6.8348180000000003</v>
      </c>
      <c r="X1187">
        <v>100</v>
      </c>
      <c r="Y1187">
        <v>79.097800000000007</v>
      </c>
      <c r="Z1187">
        <v>27.080581241743701</v>
      </c>
      <c r="AJ1187">
        <v>-0.23943522572517401</v>
      </c>
      <c r="AK1187">
        <v>-0.58855408430099487</v>
      </c>
      <c r="AM1187">
        <f>VLOOKUP(D1187,[1]Sheet1!$C$1:$D$191,2,FALSE)</f>
        <v>190</v>
      </c>
    </row>
  </sheetData>
  <sortState xmlns:xlrd2="http://schemas.microsoft.com/office/spreadsheetml/2017/richdata2" ref="A2:U1188">
    <sortCondition ref="C2:C1188"/>
    <sortCondition ref="A2:A1188"/>
  </sortState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Tifani Husna Siregar</dc:creator>
  <cp:lastModifiedBy>Tifani Husna Siregar</cp:lastModifiedBy>
  <dcterms:created xsi:type="dcterms:W3CDTF">2025-03-11T09:20:38Z</dcterms:created>
  <dcterms:modified xsi:type="dcterms:W3CDTF">2025-11-03T11:24:08Z</dcterms:modified>
</cp:coreProperties>
</file>